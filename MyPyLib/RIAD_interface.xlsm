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27795" windowHeight="11955" activeTab="3"/>
  </bookViews>
  <sheets>
    <sheet name="Group structure" sheetId="3" r:id="rId1"/>
    <sheet name="Entity search" sheetId="4" r:id="rId2"/>
    <sheet name="Close links" sheetId="5" r:id="rId3"/>
    <sheet name="Close linked assets" sheetId="7" r:id="rId4"/>
    <sheet name="xlwings.conf" sheetId="8" state="hidden" r:id="rId5"/>
  </sheets>
  <functionGroups builtInGroupCount="17">
    <functionGroup name="Bloomberg"/>
  </functionGroups>
  <calcPr calcId="145621"/>
  <extLst>
    <ext xmlns:x14="http://schemas.microsoft.com/office/spreadsheetml/2009/9/main" uri="{8193D73E-4604-4355-AFF4-8A2333D13BE4}">
      <x14:definedNames>
        <x14:definedName name="concat_uniq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close_linked_assets">
          <x14:argumentDescriptions count="1">
            <x14:argumentDescription index="0">Positional argument 1</x14:argumentDescription>
          </x14:argumentDescriptions>
        </x14:definedName>
        <x14:definedName name="get_close_links_by_ids">
          <x14:argumentDescriptions count="1">
            <x14:argumentDescription index="0">Positional argument 1</x14:argumentDescription>
          </x14:argumentDescriptions>
        </x14:definedName>
        <x14:definedName name="get_entity_by_name">
          <x14:argumentDescriptions count="1">
            <x14:argumentDescription index="0">Positional argument 1</x14:argumentDescription>
          </x14:argumentDescriptions>
        </x14:definedName>
        <x14:definedName name="get_head_of_riad_code">
          <x14:argumentDescriptions count="1">
            <x14:argumentDescription index="0">Positional argument 1</x14:argumentDescription>
          </x14:argumentDescriptions>
        </x14:definedName>
        <x14:definedName name="sql_in_l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rapper_functio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5" i="7" l="1" a="1"/>
  <c r="E5" i="5" a="1"/>
  <c r="E5" i="3" a="1"/>
  <c r="E5" i="4" a="1"/>
  <c r="H5" i="7" l="1"/>
  <c r="F6" i="7"/>
  <c r="J6" i="7"/>
  <c r="H7" i="7"/>
  <c r="F8" i="7"/>
  <c r="J8" i="7"/>
  <c r="H9" i="7"/>
  <c r="F10" i="7"/>
  <c r="J10" i="7"/>
  <c r="H11" i="7"/>
  <c r="F12" i="7"/>
  <c r="J12" i="7"/>
  <c r="H13" i="7"/>
  <c r="F14" i="7"/>
  <c r="J14" i="7"/>
  <c r="H15" i="7"/>
  <c r="F16" i="7"/>
  <c r="J16" i="7"/>
  <c r="H17" i="7"/>
  <c r="F18" i="7"/>
  <c r="J18" i="7"/>
  <c r="H19" i="7"/>
  <c r="F20" i="7"/>
  <c r="J20" i="7"/>
  <c r="H21" i="7"/>
  <c r="F22" i="7"/>
  <c r="J22" i="7"/>
  <c r="H23" i="7"/>
  <c r="F24" i="7"/>
  <c r="J24" i="7"/>
  <c r="H25" i="7"/>
  <c r="F26" i="7"/>
  <c r="J26" i="7"/>
  <c r="E5" i="7"/>
  <c r="I5" i="7"/>
  <c r="G6" i="7"/>
  <c r="E7" i="7"/>
  <c r="I7" i="7"/>
  <c r="G8" i="7"/>
  <c r="E9" i="7"/>
  <c r="I9" i="7"/>
  <c r="G10" i="7"/>
  <c r="E11" i="7"/>
  <c r="I11" i="7"/>
  <c r="G12" i="7"/>
  <c r="E13" i="7"/>
  <c r="I13" i="7"/>
  <c r="G14" i="7"/>
  <c r="E15" i="7"/>
  <c r="I15" i="7"/>
  <c r="G16" i="7"/>
  <c r="E17" i="7"/>
  <c r="I17" i="7"/>
  <c r="G18" i="7"/>
  <c r="E19" i="7"/>
  <c r="I19" i="7"/>
  <c r="G20" i="7"/>
  <c r="E21" i="7"/>
  <c r="I21" i="7"/>
  <c r="G22" i="7"/>
  <c r="E23" i="7"/>
  <c r="I23" i="7"/>
  <c r="G24" i="7"/>
  <c r="E25" i="7"/>
  <c r="I25" i="7"/>
  <c r="G26" i="7"/>
  <c r="E27" i="7"/>
  <c r="I27" i="7"/>
  <c r="G28" i="7"/>
  <c r="E29" i="7"/>
  <c r="I29" i="7"/>
  <c r="G30" i="7"/>
  <c r="E31" i="7"/>
  <c r="I31" i="7"/>
  <c r="G32" i="7"/>
  <c r="E33" i="7"/>
  <c r="I33" i="7"/>
  <c r="G34" i="7"/>
  <c r="E35" i="7"/>
  <c r="I35" i="7"/>
  <c r="G36" i="7"/>
  <c r="E37" i="7"/>
  <c r="I37" i="7"/>
  <c r="G38" i="7"/>
  <c r="E39" i="7"/>
  <c r="I39" i="7"/>
  <c r="G40" i="7"/>
  <c r="E41" i="7"/>
  <c r="I41" i="7"/>
  <c r="G42" i="7"/>
  <c r="E43" i="7"/>
  <c r="I43" i="7"/>
  <c r="G44" i="7"/>
  <c r="E45" i="7"/>
  <c r="I45" i="7"/>
  <c r="G46" i="7"/>
  <c r="E47" i="7"/>
  <c r="I47" i="7"/>
  <c r="G48" i="7"/>
  <c r="E49" i="7"/>
  <c r="I49" i="7"/>
  <c r="G50" i="7"/>
  <c r="E51" i="7"/>
  <c r="I51" i="7"/>
  <c r="G52" i="7"/>
  <c r="E53" i="7"/>
  <c r="I53" i="7"/>
  <c r="G54" i="7"/>
  <c r="E55" i="7"/>
  <c r="I55" i="7"/>
  <c r="G56" i="7"/>
  <c r="E57" i="7"/>
  <c r="I57" i="7"/>
  <c r="G58" i="7"/>
  <c r="E59" i="7"/>
  <c r="I59" i="7"/>
  <c r="G60" i="7"/>
  <c r="E61" i="7"/>
  <c r="F5" i="7"/>
  <c r="H6" i="7"/>
  <c r="J7" i="7"/>
  <c r="F9" i="7"/>
  <c r="H10" i="7"/>
  <c r="J11" i="7"/>
  <c r="F13" i="7"/>
  <c r="H14" i="7"/>
  <c r="J15" i="7"/>
  <c r="F17" i="7"/>
  <c r="H18" i="7"/>
  <c r="J19" i="7"/>
  <c r="F21" i="7"/>
  <c r="H22" i="7"/>
  <c r="J23" i="7"/>
  <c r="F25" i="7"/>
  <c r="H26" i="7"/>
  <c r="H27" i="7"/>
  <c r="H28" i="7"/>
  <c r="G29" i="7"/>
  <c r="F30" i="7"/>
  <c r="F31" i="7"/>
  <c r="E32" i="7"/>
  <c r="J32" i="7"/>
  <c r="J33" i="7"/>
  <c r="I34" i="7"/>
  <c r="H35" i="7"/>
  <c r="H36" i="7"/>
  <c r="G37" i="7"/>
  <c r="F38" i="7"/>
  <c r="F39" i="7"/>
  <c r="E40" i="7"/>
  <c r="J40" i="7"/>
  <c r="J41" i="7"/>
  <c r="I42" i="7"/>
  <c r="H43" i="7"/>
  <c r="H44" i="7"/>
  <c r="G45" i="7"/>
  <c r="F46" i="7"/>
  <c r="F47" i="7"/>
  <c r="E48" i="7"/>
  <c r="J48" i="7"/>
  <c r="J49" i="7"/>
  <c r="I50" i="7"/>
  <c r="H51" i="7"/>
  <c r="H52" i="7"/>
  <c r="G53" i="7"/>
  <c r="F54" i="7"/>
  <c r="F55" i="7"/>
  <c r="E56" i="7"/>
  <c r="J56" i="7"/>
  <c r="J57" i="7"/>
  <c r="I58" i="7"/>
  <c r="H59" i="7"/>
  <c r="H60" i="7"/>
  <c r="G61" i="7"/>
  <c r="E62" i="7"/>
  <c r="I62" i="7"/>
  <c r="G63" i="7"/>
  <c r="E64" i="7"/>
  <c r="I64" i="7"/>
  <c r="G65" i="7"/>
  <c r="E66" i="7"/>
  <c r="I66" i="7"/>
  <c r="G67" i="7"/>
  <c r="E68" i="7"/>
  <c r="I68" i="7"/>
  <c r="G69" i="7"/>
  <c r="E70" i="7"/>
  <c r="I70" i="7"/>
  <c r="G71" i="7"/>
  <c r="E72" i="7"/>
  <c r="I72" i="7"/>
  <c r="G73" i="7"/>
  <c r="E74" i="7"/>
  <c r="I74" i="7"/>
  <c r="G75" i="7"/>
  <c r="E76" i="7"/>
  <c r="I76" i="7"/>
  <c r="G77" i="7"/>
  <c r="E78" i="7"/>
  <c r="I78" i="7"/>
  <c r="G79" i="7"/>
  <c r="E80" i="7"/>
  <c r="I80" i="7"/>
  <c r="G5" i="7"/>
  <c r="I6" i="7"/>
  <c r="E8" i="7"/>
  <c r="G9" i="7"/>
  <c r="I10" i="7"/>
  <c r="E12" i="7"/>
  <c r="G13" i="7"/>
  <c r="I14" i="7"/>
  <c r="E16" i="7"/>
  <c r="G17" i="7"/>
  <c r="I18" i="7"/>
  <c r="E20" i="7"/>
  <c r="G21" i="7"/>
  <c r="I22" i="7"/>
  <c r="E24" i="7"/>
  <c r="G25" i="7"/>
  <c r="I26" i="7"/>
  <c r="J27" i="7"/>
  <c r="I28" i="7"/>
  <c r="H29" i="7"/>
  <c r="H30" i="7"/>
  <c r="G31" i="7"/>
  <c r="F32" i="7"/>
  <c r="F33" i="7"/>
  <c r="E34" i="7"/>
  <c r="J34" i="7"/>
  <c r="J35" i="7"/>
  <c r="I36" i="7"/>
  <c r="H37" i="7"/>
  <c r="H38" i="7"/>
  <c r="G39" i="7"/>
  <c r="F40" i="7"/>
  <c r="F41" i="7"/>
  <c r="E42" i="7"/>
  <c r="J42" i="7"/>
  <c r="J43" i="7"/>
  <c r="I44" i="7"/>
  <c r="H45" i="7"/>
  <c r="H46" i="7"/>
  <c r="G47" i="7"/>
  <c r="F48" i="7"/>
  <c r="F49" i="7"/>
  <c r="E50" i="7"/>
  <c r="J50" i="7"/>
  <c r="J51" i="7"/>
  <c r="I52" i="7"/>
  <c r="H53" i="7"/>
  <c r="H54" i="7"/>
  <c r="G55" i="7"/>
  <c r="F56" i="7"/>
  <c r="F57" i="7"/>
  <c r="E58" i="7"/>
  <c r="J58" i="7"/>
  <c r="J59" i="7"/>
  <c r="I60" i="7"/>
  <c r="H61" i="7"/>
  <c r="F62" i="7"/>
  <c r="J62" i="7"/>
  <c r="H63" i="7"/>
  <c r="F64" i="7"/>
  <c r="J64" i="7"/>
  <c r="H65" i="7"/>
  <c r="F66" i="7"/>
  <c r="J66" i="7"/>
  <c r="H67" i="7"/>
  <c r="F68" i="7"/>
  <c r="J68" i="7"/>
  <c r="H69" i="7"/>
  <c r="F70" i="7"/>
  <c r="J70" i="7"/>
  <c r="H71" i="7"/>
  <c r="F72" i="7"/>
  <c r="J72" i="7"/>
  <c r="H73" i="7"/>
  <c r="F74" i="7"/>
  <c r="J74" i="7"/>
  <c r="H75" i="7"/>
  <c r="F76" i="7"/>
  <c r="J76" i="7"/>
  <c r="H77" i="7"/>
  <c r="F78" i="7"/>
  <c r="J78" i="7"/>
  <c r="H79" i="7"/>
  <c r="F80" i="7"/>
  <c r="J80" i="7"/>
  <c r="H81" i="7"/>
  <c r="F82" i="7"/>
  <c r="J82" i="7"/>
  <c r="H83" i="7"/>
  <c r="F84" i="7"/>
  <c r="J84" i="7"/>
  <c r="H85" i="7"/>
  <c r="F86" i="7"/>
  <c r="J86" i="7"/>
  <c r="H87" i="7"/>
  <c r="F88" i="7"/>
  <c r="J88" i="7"/>
  <c r="H89" i="7"/>
  <c r="F90" i="7"/>
  <c r="J90" i="7"/>
  <c r="H91" i="7"/>
  <c r="F92" i="7"/>
  <c r="J92" i="7"/>
  <c r="H93" i="7"/>
  <c r="F94" i="7"/>
  <c r="J94" i="7"/>
  <c r="H95" i="7"/>
  <c r="F96" i="7"/>
  <c r="J96" i="7"/>
  <c r="H97" i="7"/>
  <c r="F98" i="7"/>
  <c r="J98" i="7"/>
  <c r="H99" i="7"/>
  <c r="J5" i="7"/>
  <c r="H8" i="7"/>
  <c r="F11" i="7"/>
  <c r="J13" i="7"/>
  <c r="H16" i="7"/>
  <c r="F19" i="7"/>
  <c r="J21" i="7"/>
  <c r="H24" i="7"/>
  <c r="F27" i="7"/>
  <c r="J28" i="7"/>
  <c r="I30" i="7"/>
  <c r="H32" i="7"/>
  <c r="F34" i="7"/>
  <c r="E36" i="7"/>
  <c r="J37" i="7"/>
  <c r="H39" i="7"/>
  <c r="G41" i="7"/>
  <c r="F43" i="7"/>
  <c r="J44" i="7"/>
  <c r="I46" i="7"/>
  <c r="H48" i="7"/>
  <c r="F50" i="7"/>
  <c r="E52" i="7"/>
  <c r="J53" i="7"/>
  <c r="H55" i="7"/>
  <c r="G57" i="7"/>
  <c r="F59" i="7"/>
  <c r="J60" i="7"/>
  <c r="G62" i="7"/>
  <c r="I63" i="7"/>
  <c r="E65" i="7"/>
  <c r="G66" i="7"/>
  <c r="I67" i="7"/>
  <c r="E69" i="7"/>
  <c r="G70" i="7"/>
  <c r="I71" i="7"/>
  <c r="E73" i="7"/>
  <c r="G74" i="7"/>
  <c r="I75" i="7"/>
  <c r="E77" i="7"/>
  <c r="G78" i="7"/>
  <c r="I79" i="7"/>
  <c r="E81" i="7"/>
  <c r="J81" i="7"/>
  <c r="I82" i="7"/>
  <c r="I83" i="7"/>
  <c r="H84" i="7"/>
  <c r="G85" i="7"/>
  <c r="G86" i="7"/>
  <c r="F87" i="7"/>
  <c r="E88" i="7"/>
  <c r="E89" i="7"/>
  <c r="J89" i="7"/>
  <c r="I90" i="7"/>
  <c r="I91" i="7"/>
  <c r="H92" i="7"/>
  <c r="G93" i="7"/>
  <c r="G94" i="7"/>
  <c r="F95" i="7"/>
  <c r="E96" i="7"/>
  <c r="E97" i="7"/>
  <c r="J97" i="7"/>
  <c r="I98" i="7"/>
  <c r="I99" i="7"/>
  <c r="G100" i="7"/>
  <c r="E101" i="7"/>
  <c r="I101" i="7"/>
  <c r="G102" i="7"/>
  <c r="E103" i="7"/>
  <c r="I103" i="7"/>
  <c r="G104" i="7"/>
  <c r="E105" i="7"/>
  <c r="I105" i="7"/>
  <c r="G106" i="7"/>
  <c r="E107" i="7"/>
  <c r="I107" i="7"/>
  <c r="G108" i="7"/>
  <c r="E109" i="7"/>
  <c r="I109" i="7"/>
  <c r="G110" i="7"/>
  <c r="E111" i="7"/>
  <c r="I111" i="7"/>
  <c r="G112" i="7"/>
  <c r="E113" i="7"/>
  <c r="I113" i="7"/>
  <c r="G114" i="7"/>
  <c r="E115" i="7"/>
  <c r="I115" i="7"/>
  <c r="G116" i="7"/>
  <c r="E117" i="7"/>
  <c r="I117" i="7"/>
  <c r="G118" i="7"/>
  <c r="E119" i="7"/>
  <c r="I119" i="7"/>
  <c r="G120" i="7"/>
  <c r="E121" i="7"/>
  <c r="I121" i="7"/>
  <c r="G122" i="7"/>
  <c r="E123" i="7"/>
  <c r="I123" i="7"/>
  <c r="G124" i="7"/>
  <c r="E125" i="7"/>
  <c r="I125" i="7"/>
  <c r="G126" i="7"/>
  <c r="E127" i="7"/>
  <c r="I127" i="7"/>
  <c r="G128" i="7"/>
  <c r="E129" i="7"/>
  <c r="I129" i="7"/>
  <c r="G130" i="7"/>
  <c r="E131" i="7"/>
  <c r="I131" i="7"/>
  <c r="G132" i="7"/>
  <c r="E133" i="7"/>
  <c r="I133" i="7"/>
  <c r="G134" i="7"/>
  <c r="E135" i="7"/>
  <c r="I135" i="7"/>
  <c r="G136" i="7"/>
  <c r="E137" i="7"/>
  <c r="I137" i="7"/>
  <c r="G138" i="7"/>
  <c r="E139" i="7"/>
  <c r="I139" i="7"/>
  <c r="G140" i="7"/>
  <c r="E141" i="7"/>
  <c r="I141" i="7"/>
  <c r="G142" i="7"/>
  <c r="E143" i="7"/>
  <c r="I143" i="7"/>
  <c r="G144" i="7"/>
  <c r="E145" i="7"/>
  <c r="I145" i="7"/>
  <c r="G146" i="7"/>
  <c r="E147" i="7"/>
  <c r="I147" i="7"/>
  <c r="G148" i="7"/>
  <c r="E149" i="7"/>
  <c r="I149" i="7"/>
  <c r="G150" i="7"/>
  <c r="E151" i="7"/>
  <c r="I151" i="7"/>
  <c r="G152" i="7"/>
  <c r="E153" i="7"/>
  <c r="I153" i="7"/>
  <c r="G154" i="7"/>
  <c r="E155" i="7"/>
  <c r="I155" i="7"/>
  <c r="G156" i="7"/>
  <c r="J9" i="7"/>
  <c r="I38" i="7"/>
  <c r="J45" i="7"/>
  <c r="F51" i="7"/>
  <c r="I54" i="7"/>
  <c r="F58" i="7"/>
  <c r="E6" i="7"/>
  <c r="I8" i="7"/>
  <c r="G11" i="7"/>
  <c r="E14" i="7"/>
  <c r="I16" i="7"/>
  <c r="G19" i="7"/>
  <c r="E22" i="7"/>
  <c r="I24" i="7"/>
  <c r="G27" i="7"/>
  <c r="F29" i="7"/>
  <c r="J30" i="7"/>
  <c r="I32" i="7"/>
  <c r="H34" i="7"/>
  <c r="F36" i="7"/>
  <c r="E38" i="7"/>
  <c r="J39" i="7"/>
  <c r="H41" i="7"/>
  <c r="G43" i="7"/>
  <c r="F45" i="7"/>
  <c r="J46" i="7"/>
  <c r="I48" i="7"/>
  <c r="H50" i="7"/>
  <c r="F52" i="7"/>
  <c r="E54" i="7"/>
  <c r="J55" i="7"/>
  <c r="H57" i="7"/>
  <c r="G59" i="7"/>
  <c r="F61" i="7"/>
  <c r="H62" i="7"/>
  <c r="J63" i="7"/>
  <c r="F65" i="7"/>
  <c r="H66" i="7"/>
  <c r="J67" i="7"/>
  <c r="F69" i="7"/>
  <c r="H70" i="7"/>
  <c r="J71" i="7"/>
  <c r="F73" i="7"/>
  <c r="H74" i="7"/>
  <c r="J75" i="7"/>
  <c r="F77" i="7"/>
  <c r="H78" i="7"/>
  <c r="J79" i="7"/>
  <c r="F81" i="7"/>
  <c r="E82" i="7"/>
  <c r="E83" i="7"/>
  <c r="J83" i="7"/>
  <c r="I84" i="7"/>
  <c r="I85" i="7"/>
  <c r="H86" i="7"/>
  <c r="G87" i="7"/>
  <c r="G88" i="7"/>
  <c r="F89" i="7"/>
  <c r="E90" i="7"/>
  <c r="E91" i="7"/>
  <c r="J91" i="7"/>
  <c r="I92" i="7"/>
  <c r="I93" i="7"/>
  <c r="H94" i="7"/>
  <c r="G95" i="7"/>
  <c r="G96" i="7"/>
  <c r="F97" i="7"/>
  <c r="E98" i="7"/>
  <c r="E99" i="7"/>
  <c r="J99" i="7"/>
  <c r="H100" i="7"/>
  <c r="F101" i="7"/>
  <c r="J101" i="7"/>
  <c r="H102" i="7"/>
  <c r="F103" i="7"/>
  <c r="J103" i="7"/>
  <c r="H104" i="7"/>
  <c r="F105" i="7"/>
  <c r="J105" i="7"/>
  <c r="H106" i="7"/>
  <c r="F107" i="7"/>
  <c r="J107" i="7"/>
  <c r="H108" i="7"/>
  <c r="F109" i="7"/>
  <c r="J109" i="7"/>
  <c r="H110" i="7"/>
  <c r="F111" i="7"/>
  <c r="J111" i="7"/>
  <c r="H112" i="7"/>
  <c r="F113" i="7"/>
  <c r="J113" i="7"/>
  <c r="H114" i="7"/>
  <c r="F115" i="7"/>
  <c r="J115" i="7"/>
  <c r="H116" i="7"/>
  <c r="F117" i="7"/>
  <c r="J117" i="7"/>
  <c r="H118" i="7"/>
  <c r="F119" i="7"/>
  <c r="J119" i="7"/>
  <c r="H120" i="7"/>
  <c r="F121" i="7"/>
  <c r="J121" i="7"/>
  <c r="H122" i="7"/>
  <c r="F123" i="7"/>
  <c r="J123" i="7"/>
  <c r="H124" i="7"/>
  <c r="F125" i="7"/>
  <c r="J125" i="7"/>
  <c r="H126" i="7"/>
  <c r="F127" i="7"/>
  <c r="J127" i="7"/>
  <c r="H128" i="7"/>
  <c r="F129" i="7"/>
  <c r="J129" i="7"/>
  <c r="H130" i="7"/>
  <c r="F131" i="7"/>
  <c r="J131" i="7"/>
  <c r="H132" i="7"/>
  <c r="F133" i="7"/>
  <c r="J133" i="7"/>
  <c r="H134" i="7"/>
  <c r="F135" i="7"/>
  <c r="J135" i="7"/>
  <c r="H136" i="7"/>
  <c r="F137" i="7"/>
  <c r="J137" i="7"/>
  <c r="H138" i="7"/>
  <c r="F139" i="7"/>
  <c r="J139" i="7"/>
  <c r="H140" i="7"/>
  <c r="F141" i="7"/>
  <c r="J141" i="7"/>
  <c r="H142" i="7"/>
  <c r="F143" i="7"/>
  <c r="J143" i="7"/>
  <c r="H144" i="7"/>
  <c r="F145" i="7"/>
  <c r="J145" i="7"/>
  <c r="H146" i="7"/>
  <c r="F147" i="7"/>
  <c r="J147" i="7"/>
  <c r="H148" i="7"/>
  <c r="F149" i="7"/>
  <c r="J149" i="7"/>
  <c r="H150" i="7"/>
  <c r="F151" i="7"/>
  <c r="J151" i="7"/>
  <c r="H152" i="7"/>
  <c r="F153" i="7"/>
  <c r="J153" i="7"/>
  <c r="H154" i="7"/>
  <c r="F155" i="7"/>
  <c r="J155" i="7"/>
  <c r="H156" i="7"/>
  <c r="F7" i="7"/>
  <c r="H12" i="7"/>
  <c r="F15" i="7"/>
  <c r="J17" i="7"/>
  <c r="H20" i="7"/>
  <c r="F23" i="7"/>
  <c r="J25" i="7"/>
  <c r="E28" i="7"/>
  <c r="J29" i="7"/>
  <c r="H31" i="7"/>
  <c r="G33" i="7"/>
  <c r="F35" i="7"/>
  <c r="J36" i="7"/>
  <c r="H40" i="7"/>
  <c r="F42" i="7"/>
  <c r="E44" i="7"/>
  <c r="H47" i="7"/>
  <c r="G49" i="7"/>
  <c r="J52" i="7"/>
  <c r="H56" i="7"/>
  <c r="E60" i="7"/>
  <c r="G7" i="7"/>
  <c r="E18" i="7"/>
  <c r="F28" i="7"/>
  <c r="G35" i="7"/>
  <c r="H42" i="7"/>
  <c r="H49" i="7"/>
  <c r="I56" i="7"/>
  <c r="J61" i="7"/>
  <c r="H64" i="7"/>
  <c r="F67" i="7"/>
  <c r="J69" i="7"/>
  <c r="H72" i="7"/>
  <c r="F75" i="7"/>
  <c r="J77" i="7"/>
  <c r="H80" i="7"/>
  <c r="H82" i="7"/>
  <c r="G84" i="7"/>
  <c r="E86" i="7"/>
  <c r="J87" i="7"/>
  <c r="I89" i="7"/>
  <c r="G91" i="7"/>
  <c r="F93" i="7"/>
  <c r="E95" i="7"/>
  <c r="I96" i="7"/>
  <c r="H98" i="7"/>
  <c r="F100" i="7"/>
  <c r="H101" i="7"/>
  <c r="J102" i="7"/>
  <c r="F104" i="7"/>
  <c r="H105" i="7"/>
  <c r="J106" i="7"/>
  <c r="F108" i="7"/>
  <c r="H109" i="7"/>
  <c r="J110" i="7"/>
  <c r="F112" i="7"/>
  <c r="H113" i="7"/>
  <c r="J114" i="7"/>
  <c r="F116" i="7"/>
  <c r="H117" i="7"/>
  <c r="J118" i="7"/>
  <c r="F120" i="7"/>
  <c r="H121" i="7"/>
  <c r="J122" i="7"/>
  <c r="F124" i="7"/>
  <c r="H125" i="7"/>
  <c r="J126" i="7"/>
  <c r="F128" i="7"/>
  <c r="H129" i="7"/>
  <c r="J130" i="7"/>
  <c r="F132" i="7"/>
  <c r="H133" i="7"/>
  <c r="J134" i="7"/>
  <c r="F136" i="7"/>
  <c r="H137" i="7"/>
  <c r="J138" i="7"/>
  <c r="F140" i="7"/>
  <c r="H141" i="7"/>
  <c r="J142" i="7"/>
  <c r="F144" i="7"/>
  <c r="H145" i="7"/>
  <c r="J146" i="7"/>
  <c r="F148" i="7"/>
  <c r="H149" i="7"/>
  <c r="J150" i="7"/>
  <c r="F152" i="7"/>
  <c r="H153" i="7"/>
  <c r="J154" i="7"/>
  <c r="F156" i="7"/>
  <c r="E94" i="7"/>
  <c r="F102" i="7"/>
  <c r="F106" i="7"/>
  <c r="F110" i="7"/>
  <c r="J112" i="7"/>
  <c r="H115" i="7"/>
  <c r="F118" i="7"/>
  <c r="J120" i="7"/>
  <c r="H123" i="7"/>
  <c r="F126" i="7"/>
  <c r="J128" i="7"/>
  <c r="H131" i="7"/>
  <c r="F134" i="7"/>
  <c r="J136" i="7"/>
  <c r="H139" i="7"/>
  <c r="F142" i="7"/>
  <c r="J144" i="7"/>
  <c r="H147" i="7"/>
  <c r="F150" i="7"/>
  <c r="J152" i="7"/>
  <c r="H155" i="7"/>
  <c r="G15" i="7"/>
  <c r="H33" i="7"/>
  <c r="J54" i="7"/>
  <c r="G64" i="7"/>
  <c r="I69" i="7"/>
  <c r="E75" i="7"/>
  <c r="G80" i="7"/>
  <c r="E84" i="7"/>
  <c r="J85" i="7"/>
  <c r="G89" i="7"/>
  <c r="E93" i="7"/>
  <c r="H96" i="7"/>
  <c r="G98" i="7"/>
  <c r="G101" i="7"/>
  <c r="E104" i="7"/>
  <c r="I106" i="7"/>
  <c r="G109" i="7"/>
  <c r="E112" i="7"/>
  <c r="I114" i="7"/>
  <c r="G117" i="7"/>
  <c r="E120" i="7"/>
  <c r="I122" i="7"/>
  <c r="G125" i="7"/>
  <c r="E128" i="7"/>
  <c r="I130" i="7"/>
  <c r="G133" i="7"/>
  <c r="E136" i="7"/>
  <c r="I138" i="7"/>
  <c r="G141" i="7"/>
  <c r="E144" i="7"/>
  <c r="I146" i="7"/>
  <c r="G149" i="7"/>
  <c r="E152" i="7"/>
  <c r="I154" i="7"/>
  <c r="E10" i="7"/>
  <c r="I20" i="7"/>
  <c r="E30" i="7"/>
  <c r="F37" i="7"/>
  <c r="F44" i="7"/>
  <c r="G51" i="7"/>
  <c r="H58" i="7"/>
  <c r="E63" i="7"/>
  <c r="I65" i="7"/>
  <c r="G68" i="7"/>
  <c r="E71" i="7"/>
  <c r="I73" i="7"/>
  <c r="G76" i="7"/>
  <c r="E79" i="7"/>
  <c r="G81" i="7"/>
  <c r="F83" i="7"/>
  <c r="E85" i="7"/>
  <c r="I86" i="7"/>
  <c r="H88" i="7"/>
  <c r="G90" i="7"/>
  <c r="E92" i="7"/>
  <c r="J93" i="7"/>
  <c r="I95" i="7"/>
  <c r="G97" i="7"/>
  <c r="F99" i="7"/>
  <c r="I100" i="7"/>
  <c r="E102" i="7"/>
  <c r="G103" i="7"/>
  <c r="I104" i="7"/>
  <c r="E106" i="7"/>
  <c r="G107" i="7"/>
  <c r="I108" i="7"/>
  <c r="E110" i="7"/>
  <c r="G111" i="7"/>
  <c r="I112" i="7"/>
  <c r="E114" i="7"/>
  <c r="G115" i="7"/>
  <c r="I116" i="7"/>
  <c r="E118" i="7"/>
  <c r="G119" i="7"/>
  <c r="I120" i="7"/>
  <c r="E122" i="7"/>
  <c r="G123" i="7"/>
  <c r="I124" i="7"/>
  <c r="E126" i="7"/>
  <c r="G127" i="7"/>
  <c r="I128" i="7"/>
  <c r="E130" i="7"/>
  <c r="G131" i="7"/>
  <c r="I132" i="7"/>
  <c r="E134" i="7"/>
  <c r="G135" i="7"/>
  <c r="I136" i="7"/>
  <c r="E138" i="7"/>
  <c r="G139" i="7"/>
  <c r="I140" i="7"/>
  <c r="E142" i="7"/>
  <c r="G143" i="7"/>
  <c r="I144" i="7"/>
  <c r="E146" i="7"/>
  <c r="G147" i="7"/>
  <c r="I148" i="7"/>
  <c r="E150" i="7"/>
  <c r="G151" i="7"/>
  <c r="I152" i="7"/>
  <c r="E154" i="7"/>
  <c r="G155" i="7"/>
  <c r="I156" i="7"/>
  <c r="I12" i="7"/>
  <c r="G23" i="7"/>
  <c r="J31" i="7"/>
  <c r="J38" i="7"/>
  <c r="E46" i="7"/>
  <c r="F53" i="7"/>
  <c r="F60" i="7"/>
  <c r="F63" i="7"/>
  <c r="J65" i="7"/>
  <c r="H68" i="7"/>
  <c r="F71" i="7"/>
  <c r="J73" i="7"/>
  <c r="H76" i="7"/>
  <c r="F79" i="7"/>
  <c r="I81" i="7"/>
  <c r="G83" i="7"/>
  <c r="F85" i="7"/>
  <c r="E87" i="7"/>
  <c r="I88" i="7"/>
  <c r="H90" i="7"/>
  <c r="G92" i="7"/>
  <c r="J95" i="7"/>
  <c r="I97" i="7"/>
  <c r="G99" i="7"/>
  <c r="J100" i="7"/>
  <c r="H103" i="7"/>
  <c r="J104" i="7"/>
  <c r="H107" i="7"/>
  <c r="J108" i="7"/>
  <c r="H111" i="7"/>
  <c r="F114" i="7"/>
  <c r="J116" i="7"/>
  <c r="H119" i="7"/>
  <c r="F122" i="7"/>
  <c r="J124" i="7"/>
  <c r="H127" i="7"/>
  <c r="F130" i="7"/>
  <c r="J132" i="7"/>
  <c r="H135" i="7"/>
  <c r="F138" i="7"/>
  <c r="J140" i="7"/>
  <c r="H143" i="7"/>
  <c r="F146" i="7"/>
  <c r="J148" i="7"/>
  <c r="H151" i="7"/>
  <c r="F154" i="7"/>
  <c r="J156" i="7"/>
  <c r="E26" i="7"/>
  <c r="I40" i="7"/>
  <c r="J47" i="7"/>
  <c r="I61" i="7"/>
  <c r="E67" i="7"/>
  <c r="G72" i="7"/>
  <c r="I77" i="7"/>
  <c r="G82" i="7"/>
  <c r="I87" i="7"/>
  <c r="F91" i="7"/>
  <c r="I94" i="7"/>
  <c r="E100" i="7"/>
  <c r="I102" i="7"/>
  <c r="G105" i="7"/>
  <c r="E108" i="7"/>
  <c r="I110" i="7"/>
  <c r="G113" i="7"/>
  <c r="E116" i="7"/>
  <c r="I118" i="7"/>
  <c r="G121" i="7"/>
  <c r="E124" i="7"/>
  <c r="I126" i="7"/>
  <c r="G129" i="7"/>
  <c r="E132" i="7"/>
  <c r="I134" i="7"/>
  <c r="G137" i="7"/>
  <c r="E140" i="7"/>
  <c r="I142" i="7"/>
  <c r="G145" i="7"/>
  <c r="E148" i="7"/>
  <c r="I150" i="7"/>
  <c r="G153" i="7"/>
  <c r="E156" i="7"/>
  <c r="H5" i="4"/>
  <c r="L5" i="4"/>
  <c r="G6" i="4"/>
  <c r="K6" i="4"/>
  <c r="F7" i="4"/>
  <c r="J7" i="4"/>
  <c r="E8" i="4"/>
  <c r="I8" i="4"/>
  <c r="M8" i="4"/>
  <c r="H9" i="4"/>
  <c r="L9" i="4"/>
  <c r="G10" i="4"/>
  <c r="K10" i="4"/>
  <c r="F11" i="4"/>
  <c r="J11" i="4"/>
  <c r="E12" i="4"/>
  <c r="I12" i="4"/>
  <c r="M12" i="4"/>
  <c r="H13" i="4"/>
  <c r="L13" i="4"/>
  <c r="G14" i="4"/>
  <c r="K14" i="4"/>
  <c r="F15" i="4"/>
  <c r="J15" i="4"/>
  <c r="E16" i="4"/>
  <c r="I16" i="4"/>
  <c r="M16" i="4"/>
  <c r="H17" i="4"/>
  <c r="L17" i="4"/>
  <c r="G18" i="4"/>
  <c r="K18" i="4"/>
  <c r="F19" i="4"/>
  <c r="J19" i="4"/>
  <c r="E20" i="4"/>
  <c r="I20" i="4"/>
  <c r="M20" i="4"/>
  <c r="H21" i="4"/>
  <c r="L21" i="4"/>
  <c r="G22" i="4"/>
  <c r="K22" i="4"/>
  <c r="F23" i="4"/>
  <c r="J23" i="4"/>
  <c r="E24" i="4"/>
  <c r="I24" i="4"/>
  <c r="M24" i="4"/>
  <c r="H25" i="4"/>
  <c r="L25" i="4"/>
  <c r="G26" i="4"/>
  <c r="K26" i="4"/>
  <c r="F27" i="4"/>
  <c r="J27" i="4"/>
  <c r="E28" i="4"/>
  <c r="I28" i="4"/>
  <c r="M28" i="4"/>
  <c r="H29" i="4"/>
  <c r="L29" i="4"/>
  <c r="G30" i="4"/>
  <c r="K30" i="4"/>
  <c r="F31" i="4"/>
  <c r="J31" i="4"/>
  <c r="E5" i="4"/>
  <c r="I5" i="4"/>
  <c r="M5" i="4"/>
  <c r="H6" i="4"/>
  <c r="L6" i="4"/>
  <c r="G7" i="4"/>
  <c r="K7" i="4"/>
  <c r="F8" i="4"/>
  <c r="J8" i="4"/>
  <c r="E9" i="4"/>
  <c r="I9" i="4"/>
  <c r="M9" i="4"/>
  <c r="H10" i="4"/>
  <c r="L10" i="4"/>
  <c r="G11" i="4"/>
  <c r="K11" i="4"/>
  <c r="F12" i="4"/>
  <c r="J12" i="4"/>
  <c r="E13" i="4"/>
  <c r="I13" i="4"/>
  <c r="M13" i="4"/>
  <c r="H14" i="4"/>
  <c r="L14" i="4"/>
  <c r="G15" i="4"/>
  <c r="F5" i="4"/>
  <c r="E6" i="4"/>
  <c r="M6" i="4"/>
  <c r="L7" i="4"/>
  <c r="K8" i="4"/>
  <c r="J9" i="4"/>
  <c r="I10" i="4"/>
  <c r="H11" i="4"/>
  <c r="G12" i="4"/>
  <c r="F13" i="4"/>
  <c r="E14" i="4"/>
  <c r="M14" i="4"/>
  <c r="K15" i="4"/>
  <c r="G16" i="4"/>
  <c r="L16" i="4"/>
  <c r="I17" i="4"/>
  <c r="E18" i="4"/>
  <c r="J18" i="4"/>
  <c r="G19" i="4"/>
  <c r="L19" i="4"/>
  <c r="H20" i="4"/>
  <c r="E21" i="4"/>
  <c r="J21" i="4"/>
  <c r="F22" i="4"/>
  <c r="L22" i="4"/>
  <c r="H23" i="4"/>
  <c r="M23" i="4"/>
  <c r="J24" i="4"/>
  <c r="F25" i="4"/>
  <c r="K25" i="4"/>
  <c r="H26" i="4"/>
  <c r="M26" i="4"/>
  <c r="I27" i="4"/>
  <c r="F28" i="4"/>
  <c r="K28" i="4"/>
  <c r="G29" i="4"/>
  <c r="M29" i="4"/>
  <c r="I30" i="4"/>
  <c r="E31" i="4"/>
  <c r="K31" i="4"/>
  <c r="M22" i="4"/>
  <c r="I23" i="4"/>
  <c r="F24" i="4"/>
  <c r="K24" i="4"/>
  <c r="M25" i="4"/>
  <c r="I26" i="4"/>
  <c r="K27" i="4"/>
  <c r="L28" i="4"/>
  <c r="I29" i="4"/>
  <c r="J30" i="4"/>
  <c r="G31" i="4"/>
  <c r="L31" i="4"/>
  <c r="M11" i="4"/>
  <c r="J14" i="4"/>
  <c r="K16" i="4"/>
  <c r="M17" i="4"/>
  <c r="K19" i="4"/>
  <c r="L20" i="4"/>
  <c r="E22" i="4"/>
  <c r="G23" i="4"/>
  <c r="E25" i="4"/>
  <c r="L26" i="4"/>
  <c r="J28" i="4"/>
  <c r="H30" i="4"/>
  <c r="G5" i="4"/>
  <c r="F6" i="4"/>
  <c r="E7" i="4"/>
  <c r="M7" i="4"/>
  <c r="L8" i="4"/>
  <c r="K9" i="4"/>
  <c r="J10" i="4"/>
  <c r="I11" i="4"/>
  <c r="H12" i="4"/>
  <c r="G13" i="4"/>
  <c r="F14" i="4"/>
  <c r="E15" i="4"/>
  <c r="L15" i="4"/>
  <c r="H16" i="4"/>
  <c r="E17" i="4"/>
  <c r="J17" i="4"/>
  <c r="F18" i="4"/>
  <c r="L18" i="4"/>
  <c r="H19" i="4"/>
  <c r="M19" i="4"/>
  <c r="J20" i="4"/>
  <c r="F21" i="4"/>
  <c r="K21" i="4"/>
  <c r="H22" i="4"/>
  <c r="G25" i="4"/>
  <c r="E27" i="4"/>
  <c r="G28" i="4"/>
  <c r="E30" i="4"/>
  <c r="E11" i="4"/>
  <c r="F16" i="4"/>
  <c r="I18" i="4"/>
  <c r="I21" i="4"/>
  <c r="L23" i="4"/>
  <c r="F26" i="4"/>
  <c r="M27" i="4"/>
  <c r="K29" i="4"/>
  <c r="I31" i="4"/>
  <c r="J5" i="4"/>
  <c r="I6" i="4"/>
  <c r="H7" i="4"/>
  <c r="G8" i="4"/>
  <c r="F9" i="4"/>
  <c r="E10" i="4"/>
  <c r="M10" i="4"/>
  <c r="L11" i="4"/>
  <c r="K12" i="4"/>
  <c r="J13" i="4"/>
  <c r="I14" i="4"/>
  <c r="H15" i="4"/>
  <c r="M15" i="4"/>
  <c r="J16" i="4"/>
  <c r="F17" i="4"/>
  <c r="K17" i="4"/>
  <c r="H18" i="4"/>
  <c r="M18" i="4"/>
  <c r="I19" i="4"/>
  <c r="F20" i="4"/>
  <c r="K20" i="4"/>
  <c r="G21" i="4"/>
  <c r="M21" i="4"/>
  <c r="I22" i="4"/>
  <c r="E23" i="4"/>
  <c r="K23" i="4"/>
  <c r="G24" i="4"/>
  <c r="L24" i="4"/>
  <c r="I25" i="4"/>
  <c r="E26" i="4"/>
  <c r="J26" i="4"/>
  <c r="G27" i="4"/>
  <c r="L27" i="4"/>
  <c r="H28" i="4"/>
  <c r="E29" i="4"/>
  <c r="J29" i="4"/>
  <c r="F30" i="4"/>
  <c r="L30" i="4"/>
  <c r="H31" i="4"/>
  <c r="M31" i="4"/>
  <c r="K5" i="4"/>
  <c r="J6" i="4"/>
  <c r="I7" i="4"/>
  <c r="H8" i="4"/>
  <c r="G9" i="4"/>
  <c r="F10" i="4"/>
  <c r="L12" i="4"/>
  <c r="K13" i="4"/>
  <c r="I15" i="4"/>
  <c r="G17" i="4"/>
  <c r="E19" i="4"/>
  <c r="G20" i="4"/>
  <c r="J22" i="4"/>
  <c r="H24" i="4"/>
  <c r="J25" i="4"/>
  <c r="H27" i="4"/>
  <c r="F29" i="4"/>
  <c r="M30" i="4"/>
  <c r="E6" i="3"/>
  <c r="E10" i="3"/>
  <c r="E14" i="3"/>
  <c r="E7" i="3"/>
  <c r="E11" i="3"/>
  <c r="E15" i="3"/>
  <c r="E8" i="3"/>
  <c r="E12" i="3"/>
  <c r="E5" i="3"/>
  <c r="E9" i="3"/>
  <c r="E13" i="3"/>
  <c r="M5" i="5"/>
  <c r="F5" i="5"/>
  <c r="K6" i="5"/>
  <c r="O5" i="5"/>
  <c r="L5" i="5"/>
  <c r="F6" i="5"/>
  <c r="J5" i="5"/>
  <c r="O6" i="5"/>
  <c r="H6" i="5"/>
  <c r="E6" i="5"/>
  <c r="E5" i="5"/>
  <c r="J6" i="5"/>
  <c r="G5" i="5"/>
  <c r="I6" i="5"/>
  <c r="N6" i="5"/>
  <c r="K5" i="5"/>
  <c r="M6" i="5"/>
  <c r="I5" i="5"/>
  <c r="G6" i="5"/>
  <c r="L6" i="5"/>
  <c r="N5" i="5"/>
  <c r="H5" i="5"/>
</calcChain>
</file>

<file path=xl/sharedStrings.xml><?xml version="1.0" encoding="utf-8"?>
<sst xmlns="http://schemas.openxmlformats.org/spreadsheetml/2006/main" count="35" uniqueCount="30">
  <si>
    <t>RIAD_CODE</t>
  </si>
  <si>
    <t>RIAD_NAME</t>
  </si>
  <si>
    <t>RIAD_OUID</t>
  </si>
  <si>
    <t>Search:</t>
  </si>
  <si>
    <t>Results:</t>
  </si>
  <si>
    <t>GB0570</t>
  </si>
  <si>
    <t>IT0004847230518</t>
  </si>
  <si>
    <t>RIAD Group structure</t>
  </si>
  <si>
    <t>RIAD Entity search</t>
  </si>
  <si>
    <t>RIAD name</t>
  </si>
  <si>
    <t>RIAD Close links</t>
  </si>
  <si>
    <t>RIAD_CODE1</t>
  </si>
  <si>
    <t>RIAD_CODE2</t>
  </si>
  <si>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</si>
  <si>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</si>
  <si>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</si>
  <si>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</si>
  <si>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</si>
  <si>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</si>
  <si>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</si>
  <si>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</si>
  <si>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</si>
  <si>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</si>
  <si>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C:\Anaconda3\pythonw.exe</t>
  </si>
  <si>
    <t>RIAD_interface</t>
  </si>
  <si>
    <t>C:\Anaconda3\Lib\site-packages\moalib</t>
  </si>
  <si>
    <t>GB2400</t>
  </si>
  <si>
    <t>Rio Tinto%</t>
  </si>
  <si>
    <r>
      <rPr>
        <u/>
        <sz val="10"/>
        <color theme="1"/>
        <rFont val="Arial"/>
        <family val="2"/>
      </rPr>
      <t>Note:</t>
    </r>
    <r>
      <rPr>
        <sz val="10"/>
        <color theme="1"/>
        <rFont val="Arial"/>
        <family val="2"/>
      </rPr>
      <t xml:space="preserve"> use SQL wildecards such as % (percentage) or _ (underscore) for name or code. Name and code are not case sensitive. OUID must be a number and exact match.</t>
    </r>
  </si>
  <si>
    <r>
      <rPr>
        <u/>
        <sz val="10"/>
        <color theme="1"/>
        <rFont val="Arial"/>
        <family val="2"/>
      </rPr>
      <t>Note:</t>
    </r>
    <r>
      <rPr>
        <sz val="10"/>
        <color theme="1"/>
        <rFont val="Arial"/>
        <family val="2"/>
      </rPr>
      <t xml:space="preserve"> use SQL wildecards such as % (percentage) or _ (underscore). Name is not case sensitive.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</si>
</sst>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sz val="18"/>
      <name val="Cambria"/>
      <family val="2"/>
      <scheme val="maj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5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6" xfId="0" applyFill="1" applyBorder="1"/>
    <xf numFmtId="0" fontId="0" fillId="3" borderId="10" xfId="0" applyFill="1" applyBorder="1"/>
    <xf numFmtId="0" fontId="0" fillId="3" borderId="0" xfId="0" applyFill="1" applyBorder="1"/>
    <xf numFmtId="0" fontId="0" fillId="2" borderId="0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3" fillId="2" borderId="0" xfId="0" applyFont="1" applyFill="1"/>
    <xf numFmtId="0" fontId="2" fillId="3" borderId="3" xfId="0" applyFont="1" applyFill="1" applyBorder="1"/>
    <xf numFmtId="0" fontId="2" fillId="3" borderId="11" xfId="0" applyFont="1" applyFill="1" applyBorder="1"/>
    <xf numFmtId="0" fontId="2" fillId="3" borderId="4" xfId="0" applyFont="1" applyFill="1" applyBorder="1"/>
    <xf numFmtId="0" fontId="2" fillId="2" borderId="1" xfId="0" applyFont="1" applyFill="1" applyBorder="1"/>
    <xf numFmtId="0" fontId="0" fillId="3" borderId="2" xfId="0" applyFill="1" applyBorder="1" applyAlignment="1">
      <alignment horizontal="center"/>
    </xf>
    <xf numFmtId="0" fontId="2" fillId="3" borderId="5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5" fillId="0" borderId="0" xfId="2" applyAlignment="1">
      <alignment vertical="center"/>
    </xf>
    <xf numFmtId="0" fontId="6" fillId="0" borderId="0" xfId="2" applyFont="1" applyAlignment="1">
      <alignment vertical="center"/>
    </xf>
    <xf numFmtId="0" fontId="0" fillId="3" borderId="9" xfId="0" applyFont="1" applyFill="1" applyBorder="1"/>
    <xf numFmtId="0" fontId="0" fillId="3" borderId="10" xfId="0" applyFont="1" applyFill="1" applyBorder="1"/>
    <xf numFmtId="0" fontId="4" fillId="2" borderId="13" xfId="1" applyFont="1" applyFill="1" applyBorder="1" applyAlignment="1">
      <alignment horizontal="center"/>
    </xf>
    <xf numFmtId="0" fontId="0" fillId="2" borderId="0" xfId="0" applyFill="1" applyAlignment="1">
      <alignment vertical="top" wrapText="1"/>
    </xf>
    <xf numFmtId="0" fontId="3" fillId="2" borderId="12" xfId="0" applyFont="1" applyFill="1" applyBorder="1" applyAlignment="1">
      <alignment horizontal="left"/>
    </xf>
  </cellXfs>
  <cellStyles count="3">
    <cellStyle name="Normal" xfId="0" builtinId="0"/>
    <cellStyle name="Normal 2" xfId="2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53"/>
  <sheetViews>
    <sheetView workbookViewId="0">
      <selection activeCell="C18" sqref="C18"/>
    </sheetView>
  </sheetViews>
  <sheetFormatPr defaultColWidth="0" defaultRowHeight="12.75" x14ac:dyDescent="0.2"/>
  <cols>
    <col min="1" max="1" width="3" style="1" customWidth="1"/>
    <col min="2" max="2" width="17.5703125" style="1" customWidth="1"/>
    <col min="3" max="3" width="28.85546875" style="1" customWidth="1"/>
    <col min="4" max="4" width="3.85546875" style="1" customWidth="1"/>
    <col min="5" max="5" width="128.42578125" style="4" bestFit="1" customWidth="1"/>
    <col min="6" max="6" width="9.140625" style="1" customWidth="1"/>
    <col min="7" max="16384" width="9.140625" style="1" hidden="1"/>
  </cols>
  <sheetData>
    <row r="1" spans="2:5" x14ac:dyDescent="0.2">
      <c r="E1" s="6"/>
    </row>
    <row r="2" spans="2:5" ht="23.25" thickBot="1" x14ac:dyDescent="0.35">
      <c r="B2" s="26" t="s">
        <v>7</v>
      </c>
      <c r="C2" s="26"/>
      <c r="D2" s="26"/>
      <c r="E2" s="26"/>
    </row>
    <row r="3" spans="2:5" ht="13.5" thickTop="1" x14ac:dyDescent="0.2">
      <c r="E3" s="6"/>
    </row>
    <row r="4" spans="2:5" ht="13.5" thickBot="1" x14ac:dyDescent="0.25">
      <c r="B4" s="13" t="s">
        <v>3</v>
      </c>
      <c r="E4" s="13" t="s">
        <v>4</v>
      </c>
    </row>
    <row r="5" spans="2:5" x14ac:dyDescent="0.2">
      <c r="B5" s="10" t="s">
        <v>0</v>
      </c>
      <c r="C5" s="7" t="s">
        <v>26</v>
      </c>
      <c r="E5" s="24" t="str">
        <f t="array" ref="E5:E15">wrapper_function(C5:C7)</f>
        <v xml:space="preserve">Standard Chartered Bank (GB2400)  &gt;&gt;  EA: [784.],   UC: [0.],   MPO: [0.],   O/C: [nan%]
</v>
      </c>
    </row>
    <row r="6" spans="2:5" x14ac:dyDescent="0.2">
      <c r="B6" s="11" t="s">
        <v>1</v>
      </c>
      <c r="C6" s="8"/>
      <c r="E6" s="25" t="str">
        <v xml:space="preserve">╠══ Standard Chartered Bank (United Kingdom) filial Sverige (SE5164060757)  
</v>
      </c>
    </row>
    <row r="7" spans="2:5" ht="13.5" thickBot="1" x14ac:dyDescent="0.25">
      <c r="B7" s="12" t="s">
        <v>2</v>
      </c>
      <c r="C7" s="9"/>
      <c r="E7" s="25" t="str">
        <v xml:space="preserve">╠══ Standard Chartered Bank Bangladesch (BD-TEMP-AT-21871396)  
</v>
      </c>
    </row>
    <row r="8" spans="2:5" x14ac:dyDescent="0.2">
      <c r="E8" s="25" t="str">
        <v xml:space="preserve">╠══ Standard Chartered Bank Indien (IN-TEMP-AT-21722692)  
</v>
      </c>
    </row>
    <row r="9" spans="2:5" x14ac:dyDescent="0.2">
      <c r="B9" s="27" t="s">
        <v>28</v>
      </c>
      <c r="C9" s="27"/>
      <c r="E9" s="25" t="str">
        <v xml:space="preserve">╠══ Standard Chartered Bank Japan (JP-TEMP-AT-21871400)  
</v>
      </c>
    </row>
    <row r="10" spans="2:5" x14ac:dyDescent="0.2">
      <c r="B10" s="27"/>
      <c r="C10" s="27"/>
      <c r="E10" s="25" t="str">
        <v xml:space="preserve">╠══ Standard Chartered Bank Jersey Insel (JE-TEMP-AT-21722706)  
</v>
      </c>
    </row>
    <row r="11" spans="2:5" x14ac:dyDescent="0.2">
      <c r="B11" s="27"/>
      <c r="C11" s="27"/>
      <c r="E11" s="25" t="str">
        <v xml:space="preserve">╠══ Standard Chartered Bank Singapur (SG-TEMP-AT-21722749)  
</v>
      </c>
    </row>
    <row r="12" spans="2:5" x14ac:dyDescent="0.2">
      <c r="B12" s="27"/>
      <c r="C12" s="27"/>
      <c r="E12" s="25" t="str">
        <v xml:space="preserve">╠══ Standard Chartered Bank Sri Lanka (LK-TEMP-AT-21722714)  
</v>
      </c>
    </row>
    <row r="13" spans="2:5" x14ac:dyDescent="0.2">
      <c r="B13" s="27"/>
      <c r="C13" s="27"/>
      <c r="E13" s="25" t="str">
        <v xml:space="preserve">╠══ Standard Chartered Bank USA - Vereinigte Staaten (US-TEMP-AT-21722757)  
</v>
      </c>
    </row>
    <row r="14" spans="2:5" x14ac:dyDescent="0.2">
      <c r="E14" s="25" t="str">
        <v xml:space="preserve">╠══ Standard Chartered Bank Vereinigte Arabische Emirate (AE-TEMP-AT-21722668)  
</v>
      </c>
    </row>
    <row r="15" spans="2:5" x14ac:dyDescent="0.2">
      <c r="E15" s="25" t="str">
        <v xml:space="preserve">╚══ Standard chartered bank (FR15918)  
</v>
      </c>
    </row>
    <row r="16" spans="2:5" x14ac:dyDescent="0.2">
      <c r="E16" s="25"/>
    </row>
    <row r="17" spans="5:5" x14ac:dyDescent="0.2">
      <c r="E17" s="25"/>
    </row>
    <row r="18" spans="5:5" x14ac:dyDescent="0.2">
      <c r="E18" s="25"/>
    </row>
    <row r="19" spans="5:5" x14ac:dyDescent="0.2">
      <c r="E19" s="25"/>
    </row>
    <row r="20" spans="5:5" x14ac:dyDescent="0.2">
      <c r="E20" s="25"/>
    </row>
    <row r="21" spans="5:5" x14ac:dyDescent="0.2">
      <c r="E21" s="25"/>
    </row>
    <row r="22" spans="5:5" x14ac:dyDescent="0.2">
      <c r="E22" s="25"/>
    </row>
    <row r="23" spans="5:5" x14ac:dyDescent="0.2">
      <c r="E23" s="25"/>
    </row>
    <row r="24" spans="5:5" x14ac:dyDescent="0.2">
      <c r="E24" s="25"/>
    </row>
    <row r="25" spans="5:5" x14ac:dyDescent="0.2">
      <c r="E25" s="25"/>
    </row>
    <row r="26" spans="5:5" x14ac:dyDescent="0.2">
      <c r="E26" s="25"/>
    </row>
    <row r="27" spans="5:5" x14ac:dyDescent="0.2">
      <c r="E27" s="25"/>
    </row>
    <row r="28" spans="5:5" x14ac:dyDescent="0.2">
      <c r="E28" s="25"/>
    </row>
    <row r="29" spans="5:5" x14ac:dyDescent="0.2">
      <c r="E29" s="25"/>
    </row>
    <row r="30" spans="5:5" x14ac:dyDescent="0.2">
      <c r="E30" s="25"/>
    </row>
    <row r="31" spans="5:5" x14ac:dyDescent="0.2">
      <c r="E31" s="25"/>
    </row>
    <row r="32" spans="5:5" x14ac:dyDescent="0.2">
      <c r="E32" s="25"/>
    </row>
    <row r="33" spans="5:5" x14ac:dyDescent="0.2">
      <c r="E33" s="25"/>
    </row>
    <row r="34" spans="5:5" x14ac:dyDescent="0.2">
      <c r="E34" s="25"/>
    </row>
    <row r="35" spans="5:5" x14ac:dyDescent="0.2">
      <c r="E35" s="25"/>
    </row>
    <row r="36" spans="5:5" x14ac:dyDescent="0.2">
      <c r="E36" s="25"/>
    </row>
    <row r="37" spans="5:5" x14ac:dyDescent="0.2">
      <c r="E37" s="25"/>
    </row>
    <row r="38" spans="5:5" x14ac:dyDescent="0.2">
      <c r="E38" s="25"/>
    </row>
    <row r="39" spans="5:5" x14ac:dyDescent="0.2">
      <c r="E39" s="25"/>
    </row>
    <row r="40" spans="5:5" x14ac:dyDescent="0.2">
      <c r="E40" s="25"/>
    </row>
    <row r="41" spans="5:5" x14ac:dyDescent="0.2">
      <c r="E41" s="25"/>
    </row>
    <row r="42" spans="5:5" x14ac:dyDescent="0.2">
      <c r="E42" s="25"/>
    </row>
    <row r="43" spans="5:5" x14ac:dyDescent="0.2">
      <c r="E43" s="25"/>
    </row>
    <row r="44" spans="5:5" x14ac:dyDescent="0.2">
      <c r="E44" s="25"/>
    </row>
    <row r="45" spans="5:5" x14ac:dyDescent="0.2">
      <c r="E45" s="25"/>
    </row>
    <row r="46" spans="5:5" x14ac:dyDescent="0.2">
      <c r="E46" s="25"/>
    </row>
    <row r="47" spans="5:5" x14ac:dyDescent="0.2">
      <c r="E47" s="25"/>
    </row>
    <row r="48" spans="5:5" x14ac:dyDescent="0.2">
      <c r="E48" s="25"/>
    </row>
    <row r="49" spans="5:5" x14ac:dyDescent="0.2">
      <c r="E49" s="25"/>
    </row>
    <row r="50" spans="5:5" x14ac:dyDescent="0.2">
      <c r="E50" s="25"/>
    </row>
    <row r="51" spans="5:5" x14ac:dyDescent="0.2">
      <c r="E51" s="25"/>
    </row>
    <row r="52" spans="5:5" x14ac:dyDescent="0.2">
      <c r="E52" s="25"/>
    </row>
    <row r="53" spans="5:5" x14ac:dyDescent="0.2">
      <c r="E53" s="25"/>
    </row>
    <row r="54" spans="5:5" x14ac:dyDescent="0.2">
      <c r="E54" s="25"/>
    </row>
    <row r="55" spans="5:5" x14ac:dyDescent="0.2">
      <c r="E55" s="25"/>
    </row>
    <row r="56" spans="5:5" x14ac:dyDescent="0.2">
      <c r="E56" s="25"/>
    </row>
    <row r="57" spans="5:5" x14ac:dyDescent="0.2">
      <c r="E57" s="25"/>
    </row>
    <row r="58" spans="5:5" x14ac:dyDescent="0.2">
      <c r="E58" s="25"/>
    </row>
    <row r="59" spans="5:5" x14ac:dyDescent="0.2">
      <c r="E59" s="25"/>
    </row>
    <row r="60" spans="5:5" x14ac:dyDescent="0.2">
      <c r="E60" s="25"/>
    </row>
    <row r="61" spans="5:5" x14ac:dyDescent="0.2">
      <c r="E61" s="25"/>
    </row>
    <row r="62" spans="5:5" x14ac:dyDescent="0.2">
      <c r="E62" s="25"/>
    </row>
    <row r="63" spans="5:5" x14ac:dyDescent="0.2">
      <c r="E63" s="25"/>
    </row>
    <row r="64" spans="5:5" x14ac:dyDescent="0.2">
      <c r="E64" s="25"/>
    </row>
    <row r="65" spans="5:5" x14ac:dyDescent="0.2">
      <c r="E65" s="25"/>
    </row>
    <row r="66" spans="5:5" x14ac:dyDescent="0.2">
      <c r="E66" s="25"/>
    </row>
    <row r="67" spans="5:5" x14ac:dyDescent="0.2">
      <c r="E67" s="25"/>
    </row>
    <row r="68" spans="5:5" x14ac:dyDescent="0.2">
      <c r="E68" s="25"/>
    </row>
    <row r="69" spans="5:5" x14ac:dyDescent="0.2">
      <c r="E69" s="25"/>
    </row>
    <row r="70" spans="5:5" x14ac:dyDescent="0.2">
      <c r="E70" s="25"/>
    </row>
    <row r="71" spans="5:5" x14ac:dyDescent="0.2">
      <c r="E71" s="25"/>
    </row>
    <row r="72" spans="5:5" x14ac:dyDescent="0.2">
      <c r="E72" s="25"/>
    </row>
    <row r="73" spans="5:5" x14ac:dyDescent="0.2">
      <c r="E73" s="25"/>
    </row>
    <row r="74" spans="5:5" x14ac:dyDescent="0.2">
      <c r="E74" s="25"/>
    </row>
    <row r="75" spans="5:5" x14ac:dyDescent="0.2">
      <c r="E75" s="25"/>
    </row>
    <row r="76" spans="5:5" x14ac:dyDescent="0.2">
      <c r="E76" s="25"/>
    </row>
    <row r="77" spans="5:5" x14ac:dyDescent="0.2">
      <c r="E77" s="25"/>
    </row>
    <row r="78" spans="5:5" x14ac:dyDescent="0.2">
      <c r="E78" s="25"/>
    </row>
    <row r="79" spans="5:5" x14ac:dyDescent="0.2">
      <c r="E79" s="25"/>
    </row>
    <row r="80" spans="5:5" x14ac:dyDescent="0.2">
      <c r="E80" s="25"/>
    </row>
    <row r="81" spans="5:5" x14ac:dyDescent="0.2">
      <c r="E81" s="25"/>
    </row>
    <row r="82" spans="5:5" x14ac:dyDescent="0.2">
      <c r="E82" s="25"/>
    </row>
    <row r="83" spans="5:5" x14ac:dyDescent="0.2">
      <c r="E83" s="25"/>
    </row>
    <row r="84" spans="5:5" x14ac:dyDescent="0.2">
      <c r="E84" s="25"/>
    </row>
    <row r="85" spans="5:5" x14ac:dyDescent="0.2">
      <c r="E85" s="25"/>
    </row>
    <row r="86" spans="5:5" x14ac:dyDescent="0.2">
      <c r="E86" s="25"/>
    </row>
    <row r="87" spans="5:5" x14ac:dyDescent="0.2">
      <c r="E87" s="25"/>
    </row>
    <row r="88" spans="5:5" x14ac:dyDescent="0.2">
      <c r="E88" s="25"/>
    </row>
    <row r="89" spans="5:5" x14ac:dyDescent="0.2">
      <c r="E89" s="25"/>
    </row>
    <row r="90" spans="5:5" x14ac:dyDescent="0.2">
      <c r="E90" s="25"/>
    </row>
    <row r="91" spans="5:5" x14ac:dyDescent="0.2">
      <c r="E91" s="25"/>
    </row>
    <row r="92" spans="5:5" x14ac:dyDescent="0.2">
      <c r="E92" s="25"/>
    </row>
    <row r="93" spans="5:5" x14ac:dyDescent="0.2">
      <c r="E93" s="25"/>
    </row>
    <row r="94" spans="5:5" x14ac:dyDescent="0.2">
      <c r="E94" s="25"/>
    </row>
    <row r="95" spans="5:5" x14ac:dyDescent="0.2">
      <c r="E95" s="25"/>
    </row>
    <row r="96" spans="5:5" x14ac:dyDescent="0.2">
      <c r="E96" s="25"/>
    </row>
    <row r="97" spans="5:5" x14ac:dyDescent="0.2">
      <c r="E97" s="25"/>
    </row>
    <row r="98" spans="5:5" x14ac:dyDescent="0.2">
      <c r="E98" s="25"/>
    </row>
    <row r="99" spans="5:5" x14ac:dyDescent="0.2">
      <c r="E99" s="25"/>
    </row>
    <row r="100" spans="5:5" x14ac:dyDescent="0.2">
      <c r="E100" s="25"/>
    </row>
    <row r="101" spans="5:5" x14ac:dyDescent="0.2">
      <c r="E101" s="25"/>
    </row>
    <row r="102" spans="5:5" x14ac:dyDescent="0.2">
      <c r="E102" s="25"/>
    </row>
    <row r="103" spans="5:5" x14ac:dyDescent="0.2">
      <c r="E103" s="25"/>
    </row>
    <row r="104" spans="5:5" x14ac:dyDescent="0.2">
      <c r="E104" s="25"/>
    </row>
    <row r="105" spans="5:5" x14ac:dyDescent="0.2">
      <c r="E105" s="25"/>
    </row>
    <row r="106" spans="5:5" x14ac:dyDescent="0.2">
      <c r="E106" s="25"/>
    </row>
    <row r="107" spans="5:5" x14ac:dyDescent="0.2">
      <c r="E107" s="25"/>
    </row>
    <row r="108" spans="5:5" x14ac:dyDescent="0.2">
      <c r="E108" s="25"/>
    </row>
    <row r="109" spans="5:5" x14ac:dyDescent="0.2">
      <c r="E109" s="25"/>
    </row>
    <row r="110" spans="5:5" x14ac:dyDescent="0.2">
      <c r="E110" s="25"/>
    </row>
    <row r="111" spans="5:5" x14ac:dyDescent="0.2">
      <c r="E111" s="25"/>
    </row>
    <row r="112" spans="5:5" x14ac:dyDescent="0.2">
      <c r="E112" s="25"/>
    </row>
    <row r="113" spans="5:5" x14ac:dyDescent="0.2">
      <c r="E113" s="25"/>
    </row>
    <row r="114" spans="5:5" x14ac:dyDescent="0.2">
      <c r="E114" s="25"/>
    </row>
    <row r="115" spans="5:5" x14ac:dyDescent="0.2">
      <c r="E115" s="25"/>
    </row>
    <row r="116" spans="5:5" x14ac:dyDescent="0.2">
      <c r="E116" s="25"/>
    </row>
    <row r="117" spans="5:5" x14ac:dyDescent="0.2">
      <c r="E117" s="25"/>
    </row>
    <row r="118" spans="5:5" x14ac:dyDescent="0.2">
      <c r="E118" s="25"/>
    </row>
    <row r="119" spans="5:5" x14ac:dyDescent="0.2">
      <c r="E119" s="25"/>
    </row>
    <row r="120" spans="5:5" x14ac:dyDescent="0.2">
      <c r="E120" s="25"/>
    </row>
    <row r="121" spans="5:5" x14ac:dyDescent="0.2">
      <c r="E121" s="25"/>
    </row>
    <row r="122" spans="5:5" x14ac:dyDescent="0.2">
      <c r="E122" s="25"/>
    </row>
    <row r="123" spans="5:5" x14ac:dyDescent="0.2">
      <c r="E123" s="25"/>
    </row>
    <row r="124" spans="5:5" x14ac:dyDescent="0.2">
      <c r="E124" s="25"/>
    </row>
    <row r="125" spans="5:5" x14ac:dyDescent="0.2">
      <c r="E125" s="25"/>
    </row>
    <row r="126" spans="5:5" x14ac:dyDescent="0.2">
      <c r="E126" s="25"/>
    </row>
    <row r="127" spans="5:5" x14ac:dyDescent="0.2">
      <c r="E127" s="25"/>
    </row>
    <row r="128" spans="5:5" x14ac:dyDescent="0.2">
      <c r="E128" s="25"/>
    </row>
    <row r="129" spans="5:5" x14ac:dyDescent="0.2">
      <c r="E129" s="25"/>
    </row>
    <row r="130" spans="5:5" x14ac:dyDescent="0.2">
      <c r="E130" s="25"/>
    </row>
    <row r="131" spans="5:5" x14ac:dyDescent="0.2">
      <c r="E131" s="25"/>
    </row>
    <row r="132" spans="5:5" x14ac:dyDescent="0.2">
      <c r="E132" s="25"/>
    </row>
    <row r="133" spans="5:5" x14ac:dyDescent="0.2">
      <c r="E133" s="25"/>
    </row>
    <row r="134" spans="5:5" x14ac:dyDescent="0.2">
      <c r="E134" s="25"/>
    </row>
    <row r="135" spans="5:5" x14ac:dyDescent="0.2">
      <c r="E135" s="25"/>
    </row>
    <row r="136" spans="5:5" x14ac:dyDescent="0.2">
      <c r="E136" s="25"/>
    </row>
    <row r="137" spans="5:5" x14ac:dyDescent="0.2">
      <c r="E137" s="25"/>
    </row>
    <row r="138" spans="5:5" x14ac:dyDescent="0.2">
      <c r="E138" s="25"/>
    </row>
    <row r="139" spans="5:5" x14ac:dyDescent="0.2">
      <c r="E139" s="25"/>
    </row>
    <row r="140" spans="5:5" x14ac:dyDescent="0.2">
      <c r="E140" s="25"/>
    </row>
    <row r="141" spans="5:5" x14ac:dyDescent="0.2">
      <c r="E141" s="25"/>
    </row>
    <row r="142" spans="5:5" x14ac:dyDescent="0.2">
      <c r="E142" s="25"/>
    </row>
    <row r="143" spans="5:5" x14ac:dyDescent="0.2">
      <c r="E143" s="25"/>
    </row>
    <row r="144" spans="5:5" x14ac:dyDescent="0.2">
      <c r="E144" s="25"/>
    </row>
    <row r="145" spans="5:5" x14ac:dyDescent="0.2">
      <c r="E145" s="25"/>
    </row>
    <row r="146" spans="5:5" x14ac:dyDescent="0.2">
      <c r="E146" s="25"/>
    </row>
    <row r="147" spans="5:5" x14ac:dyDescent="0.2">
      <c r="E147" s="25"/>
    </row>
    <row r="148" spans="5:5" x14ac:dyDescent="0.2">
      <c r="E148" s="25"/>
    </row>
    <row r="149" spans="5:5" x14ac:dyDescent="0.2">
      <c r="E149" s="25"/>
    </row>
    <row r="150" spans="5:5" x14ac:dyDescent="0.2">
      <c r="E150" s="25"/>
    </row>
    <row r="151" spans="5:5" x14ac:dyDescent="0.2">
      <c r="E151" s="25"/>
    </row>
    <row r="152" spans="5:5" x14ac:dyDescent="0.2">
      <c r="E152" s="25"/>
    </row>
    <row r="153" spans="5:5" x14ac:dyDescent="0.2">
      <c r="E153" s="25"/>
    </row>
    <row r="154" spans="5:5" x14ac:dyDescent="0.2">
      <c r="E154" s="25"/>
    </row>
    <row r="155" spans="5:5" x14ac:dyDescent="0.2">
      <c r="E155" s="25"/>
    </row>
    <row r="156" spans="5:5" x14ac:dyDescent="0.2">
      <c r="E156" s="25"/>
    </row>
    <row r="157" spans="5:5" x14ac:dyDescent="0.2">
      <c r="E157" s="25"/>
    </row>
    <row r="158" spans="5:5" x14ac:dyDescent="0.2">
      <c r="E158" s="25"/>
    </row>
    <row r="159" spans="5:5" x14ac:dyDescent="0.2">
      <c r="E159" s="25"/>
    </row>
    <row r="160" spans="5:5" x14ac:dyDescent="0.2">
      <c r="E160" s="25"/>
    </row>
    <row r="161" spans="5:5" x14ac:dyDescent="0.2">
      <c r="E161" s="25"/>
    </row>
    <row r="162" spans="5:5" x14ac:dyDescent="0.2">
      <c r="E162" s="25"/>
    </row>
    <row r="163" spans="5:5" x14ac:dyDescent="0.2">
      <c r="E163" s="25"/>
    </row>
    <row r="164" spans="5:5" x14ac:dyDescent="0.2">
      <c r="E164" s="25"/>
    </row>
    <row r="165" spans="5:5" x14ac:dyDescent="0.2">
      <c r="E165" s="25"/>
    </row>
    <row r="166" spans="5:5" x14ac:dyDescent="0.2">
      <c r="E166" s="25"/>
    </row>
    <row r="167" spans="5:5" x14ac:dyDescent="0.2">
      <c r="E167" s="25"/>
    </row>
    <row r="168" spans="5:5" x14ac:dyDescent="0.2">
      <c r="E168" s="25"/>
    </row>
    <row r="169" spans="5:5" x14ac:dyDescent="0.2">
      <c r="E169" s="25"/>
    </row>
    <row r="170" spans="5:5" x14ac:dyDescent="0.2">
      <c r="E170" s="25"/>
    </row>
    <row r="171" spans="5:5" x14ac:dyDescent="0.2">
      <c r="E171" s="25"/>
    </row>
    <row r="172" spans="5:5" x14ac:dyDescent="0.2">
      <c r="E172" s="25"/>
    </row>
    <row r="173" spans="5:5" x14ac:dyDescent="0.2">
      <c r="E173" s="25"/>
    </row>
    <row r="174" spans="5:5" x14ac:dyDescent="0.2">
      <c r="E174" s="25"/>
    </row>
    <row r="175" spans="5:5" x14ac:dyDescent="0.2">
      <c r="E175" s="25"/>
    </row>
    <row r="176" spans="5:5" x14ac:dyDescent="0.2">
      <c r="E176" s="25"/>
    </row>
    <row r="177" spans="5:5" x14ac:dyDescent="0.2">
      <c r="E177" s="25"/>
    </row>
    <row r="178" spans="5:5" x14ac:dyDescent="0.2">
      <c r="E178" s="25"/>
    </row>
    <row r="179" spans="5:5" x14ac:dyDescent="0.2">
      <c r="E179" s="25"/>
    </row>
    <row r="180" spans="5:5" x14ac:dyDescent="0.2">
      <c r="E180" s="25"/>
    </row>
    <row r="181" spans="5:5" x14ac:dyDescent="0.2">
      <c r="E181" s="25"/>
    </row>
    <row r="182" spans="5:5" x14ac:dyDescent="0.2">
      <c r="E182" s="25"/>
    </row>
    <row r="183" spans="5:5" x14ac:dyDescent="0.2">
      <c r="E183" s="25"/>
    </row>
    <row r="184" spans="5:5" x14ac:dyDescent="0.2">
      <c r="E184" s="25"/>
    </row>
    <row r="185" spans="5:5" x14ac:dyDescent="0.2">
      <c r="E185" s="25"/>
    </row>
    <row r="186" spans="5:5" x14ac:dyDescent="0.2">
      <c r="E186" s="25"/>
    </row>
    <row r="187" spans="5:5" x14ac:dyDescent="0.2">
      <c r="E187" s="25"/>
    </row>
    <row r="188" spans="5:5" x14ac:dyDescent="0.2">
      <c r="E188" s="25"/>
    </row>
    <row r="189" spans="5:5" x14ac:dyDescent="0.2">
      <c r="E189" s="25"/>
    </row>
    <row r="190" spans="5:5" x14ac:dyDescent="0.2">
      <c r="E190" s="25"/>
    </row>
    <row r="191" spans="5:5" x14ac:dyDescent="0.2">
      <c r="E191" s="25"/>
    </row>
    <row r="192" spans="5:5" x14ac:dyDescent="0.2">
      <c r="E192" s="25"/>
    </row>
    <row r="193" spans="5:5" x14ac:dyDescent="0.2">
      <c r="E193" s="25"/>
    </row>
    <row r="194" spans="5:5" x14ac:dyDescent="0.2">
      <c r="E194" s="25"/>
    </row>
    <row r="195" spans="5:5" x14ac:dyDescent="0.2">
      <c r="E195" s="25"/>
    </row>
    <row r="196" spans="5:5" x14ac:dyDescent="0.2">
      <c r="E196" s="25"/>
    </row>
    <row r="197" spans="5:5" x14ac:dyDescent="0.2">
      <c r="E197" s="25"/>
    </row>
    <row r="198" spans="5:5" x14ac:dyDescent="0.2">
      <c r="E198" s="25"/>
    </row>
    <row r="199" spans="5:5" x14ac:dyDescent="0.2">
      <c r="E199" s="25"/>
    </row>
    <row r="200" spans="5:5" x14ac:dyDescent="0.2">
      <c r="E200" s="25"/>
    </row>
    <row r="201" spans="5:5" x14ac:dyDescent="0.2">
      <c r="E201" s="25"/>
    </row>
    <row r="202" spans="5:5" x14ac:dyDescent="0.2">
      <c r="E202" s="25"/>
    </row>
    <row r="203" spans="5:5" x14ac:dyDescent="0.2">
      <c r="E203" s="25"/>
    </row>
    <row r="204" spans="5:5" x14ac:dyDescent="0.2">
      <c r="E204" s="25"/>
    </row>
    <row r="205" spans="5:5" x14ac:dyDescent="0.2">
      <c r="E205" s="25"/>
    </row>
    <row r="206" spans="5:5" x14ac:dyDescent="0.2">
      <c r="E206" s="25"/>
    </row>
    <row r="207" spans="5:5" x14ac:dyDescent="0.2">
      <c r="E207" s="25"/>
    </row>
    <row r="208" spans="5:5" x14ac:dyDescent="0.2">
      <c r="E208" s="25"/>
    </row>
    <row r="209" spans="5:5" x14ac:dyDescent="0.2">
      <c r="E209" s="25"/>
    </row>
    <row r="210" spans="5:5" x14ac:dyDescent="0.2">
      <c r="E210" s="25"/>
    </row>
    <row r="211" spans="5:5" x14ac:dyDescent="0.2">
      <c r="E211" s="25"/>
    </row>
    <row r="212" spans="5:5" x14ac:dyDescent="0.2">
      <c r="E212" s="25"/>
    </row>
    <row r="213" spans="5:5" x14ac:dyDescent="0.2">
      <c r="E213" s="25"/>
    </row>
    <row r="214" spans="5:5" x14ac:dyDescent="0.2">
      <c r="E214" s="25"/>
    </row>
    <row r="215" spans="5:5" x14ac:dyDescent="0.2">
      <c r="E215" s="25"/>
    </row>
    <row r="216" spans="5:5" x14ac:dyDescent="0.2">
      <c r="E216" s="25"/>
    </row>
    <row r="217" spans="5:5" x14ac:dyDescent="0.2">
      <c r="E217" s="25"/>
    </row>
    <row r="218" spans="5:5" x14ac:dyDescent="0.2">
      <c r="E218" s="25"/>
    </row>
    <row r="219" spans="5:5" x14ac:dyDescent="0.2">
      <c r="E219" s="25"/>
    </row>
    <row r="220" spans="5:5" x14ac:dyDescent="0.2">
      <c r="E220" s="25"/>
    </row>
    <row r="221" spans="5:5" x14ac:dyDescent="0.2">
      <c r="E221" s="25"/>
    </row>
    <row r="222" spans="5:5" x14ac:dyDescent="0.2">
      <c r="E222" s="25"/>
    </row>
    <row r="223" spans="5:5" x14ac:dyDescent="0.2">
      <c r="E223" s="25"/>
    </row>
    <row r="224" spans="5:5" x14ac:dyDescent="0.2">
      <c r="E224" s="25"/>
    </row>
    <row r="225" spans="5:5" x14ac:dyDescent="0.2">
      <c r="E225" s="25"/>
    </row>
    <row r="226" spans="5:5" x14ac:dyDescent="0.2">
      <c r="E226" s="25"/>
    </row>
    <row r="227" spans="5:5" x14ac:dyDescent="0.2">
      <c r="E227" s="25"/>
    </row>
    <row r="228" spans="5:5" x14ac:dyDescent="0.2">
      <c r="E228" s="25"/>
    </row>
    <row r="229" spans="5:5" x14ac:dyDescent="0.2">
      <c r="E229" s="25"/>
    </row>
    <row r="230" spans="5:5" x14ac:dyDescent="0.2">
      <c r="E230" s="25"/>
    </row>
    <row r="231" spans="5:5" x14ac:dyDescent="0.2">
      <c r="E231" s="25"/>
    </row>
    <row r="232" spans="5:5" x14ac:dyDescent="0.2">
      <c r="E232" s="25"/>
    </row>
    <row r="233" spans="5:5" x14ac:dyDescent="0.2">
      <c r="E233" s="25"/>
    </row>
    <row r="234" spans="5:5" x14ac:dyDescent="0.2">
      <c r="E234" s="25"/>
    </row>
    <row r="235" spans="5:5" x14ac:dyDescent="0.2">
      <c r="E235" s="25"/>
    </row>
    <row r="236" spans="5:5" x14ac:dyDescent="0.2">
      <c r="E236" s="25"/>
    </row>
    <row r="237" spans="5:5" x14ac:dyDescent="0.2">
      <c r="E237" s="25"/>
    </row>
    <row r="238" spans="5:5" x14ac:dyDescent="0.2">
      <c r="E238" s="25"/>
    </row>
    <row r="239" spans="5:5" x14ac:dyDescent="0.2">
      <c r="E239" s="25"/>
    </row>
    <row r="240" spans="5:5" x14ac:dyDescent="0.2">
      <c r="E240" s="25"/>
    </row>
    <row r="241" spans="5:5" x14ac:dyDescent="0.2">
      <c r="E241" s="25"/>
    </row>
    <row r="242" spans="5:5" x14ac:dyDescent="0.2">
      <c r="E242" s="25"/>
    </row>
    <row r="243" spans="5:5" x14ac:dyDescent="0.2">
      <c r="E243" s="25"/>
    </row>
    <row r="244" spans="5:5" x14ac:dyDescent="0.2">
      <c r="E244" s="25"/>
    </row>
    <row r="245" spans="5:5" x14ac:dyDescent="0.2">
      <c r="E245" s="25"/>
    </row>
    <row r="246" spans="5:5" x14ac:dyDescent="0.2">
      <c r="E246" s="25"/>
    </row>
    <row r="247" spans="5:5" x14ac:dyDescent="0.2">
      <c r="E247" s="25"/>
    </row>
    <row r="248" spans="5:5" x14ac:dyDescent="0.2">
      <c r="E248" s="25"/>
    </row>
    <row r="249" spans="5:5" x14ac:dyDescent="0.2">
      <c r="E249" s="25"/>
    </row>
    <row r="250" spans="5:5" x14ac:dyDescent="0.2">
      <c r="E250" s="25"/>
    </row>
    <row r="251" spans="5:5" x14ac:dyDescent="0.2">
      <c r="E251" s="25"/>
    </row>
    <row r="252" spans="5:5" x14ac:dyDescent="0.2">
      <c r="E252" s="25"/>
    </row>
    <row r="253" spans="5:5" x14ac:dyDescent="0.2">
      <c r="E253" s="25"/>
    </row>
    <row r="254" spans="5:5" x14ac:dyDescent="0.2">
      <c r="E254" s="25"/>
    </row>
    <row r="255" spans="5:5" x14ac:dyDescent="0.2">
      <c r="E255" s="25"/>
    </row>
    <row r="256" spans="5:5" x14ac:dyDescent="0.2">
      <c r="E256" s="25"/>
    </row>
    <row r="257" spans="5:5" x14ac:dyDescent="0.2">
      <c r="E257" s="25"/>
    </row>
    <row r="258" spans="5:5" x14ac:dyDescent="0.2">
      <c r="E258" s="25"/>
    </row>
    <row r="259" spans="5:5" x14ac:dyDescent="0.2">
      <c r="E259" s="25"/>
    </row>
    <row r="260" spans="5:5" x14ac:dyDescent="0.2">
      <c r="E260" s="25"/>
    </row>
    <row r="261" spans="5:5" x14ac:dyDescent="0.2">
      <c r="E261" s="25"/>
    </row>
    <row r="262" spans="5:5" x14ac:dyDescent="0.2">
      <c r="E262" s="25"/>
    </row>
    <row r="263" spans="5:5" x14ac:dyDescent="0.2">
      <c r="E263" s="25"/>
    </row>
    <row r="264" spans="5:5" x14ac:dyDescent="0.2">
      <c r="E264" s="25"/>
    </row>
    <row r="265" spans="5:5" x14ac:dyDescent="0.2">
      <c r="E265" s="25"/>
    </row>
    <row r="266" spans="5:5" x14ac:dyDescent="0.2">
      <c r="E266" s="25"/>
    </row>
    <row r="267" spans="5:5" x14ac:dyDescent="0.2">
      <c r="E267" s="25"/>
    </row>
    <row r="268" spans="5:5" x14ac:dyDescent="0.2">
      <c r="E268" s="25"/>
    </row>
    <row r="269" spans="5:5" x14ac:dyDescent="0.2">
      <c r="E269" s="25"/>
    </row>
    <row r="270" spans="5:5" x14ac:dyDescent="0.2">
      <c r="E270" s="25"/>
    </row>
    <row r="271" spans="5:5" x14ac:dyDescent="0.2">
      <c r="E271" s="25"/>
    </row>
    <row r="272" spans="5:5" x14ac:dyDescent="0.2">
      <c r="E272" s="25"/>
    </row>
    <row r="273" spans="5:5" x14ac:dyDescent="0.2">
      <c r="E273" s="25"/>
    </row>
    <row r="274" spans="5:5" x14ac:dyDescent="0.2">
      <c r="E274" s="25"/>
    </row>
    <row r="275" spans="5:5" x14ac:dyDescent="0.2">
      <c r="E275" s="25"/>
    </row>
    <row r="276" spans="5:5" x14ac:dyDescent="0.2">
      <c r="E276" s="25"/>
    </row>
    <row r="277" spans="5:5" x14ac:dyDescent="0.2">
      <c r="E277" s="25"/>
    </row>
    <row r="278" spans="5:5" x14ac:dyDescent="0.2">
      <c r="E278" s="25"/>
    </row>
    <row r="279" spans="5:5" x14ac:dyDescent="0.2">
      <c r="E279" s="25"/>
    </row>
    <row r="280" spans="5:5" x14ac:dyDescent="0.2">
      <c r="E280" s="25"/>
    </row>
    <row r="281" spans="5:5" x14ac:dyDescent="0.2">
      <c r="E281" s="25"/>
    </row>
    <row r="282" spans="5:5" x14ac:dyDescent="0.2">
      <c r="E282" s="25"/>
    </row>
    <row r="283" spans="5:5" x14ac:dyDescent="0.2">
      <c r="E283" s="25"/>
    </row>
    <row r="284" spans="5:5" x14ac:dyDescent="0.2">
      <c r="E284" s="25"/>
    </row>
    <row r="285" spans="5:5" x14ac:dyDescent="0.2">
      <c r="E285" s="25"/>
    </row>
    <row r="286" spans="5:5" x14ac:dyDescent="0.2">
      <c r="E286" s="25"/>
    </row>
    <row r="287" spans="5:5" x14ac:dyDescent="0.2">
      <c r="E287" s="25"/>
    </row>
    <row r="288" spans="5:5" x14ac:dyDescent="0.2">
      <c r="E288" s="25"/>
    </row>
    <row r="289" spans="5:5" x14ac:dyDescent="0.2">
      <c r="E289" s="25"/>
    </row>
    <row r="290" spans="5:5" x14ac:dyDescent="0.2">
      <c r="E290" s="25"/>
    </row>
    <row r="291" spans="5:5" x14ac:dyDescent="0.2">
      <c r="E291" s="25"/>
    </row>
    <row r="292" spans="5:5" x14ac:dyDescent="0.2">
      <c r="E292" s="25"/>
    </row>
    <row r="293" spans="5:5" x14ac:dyDescent="0.2">
      <c r="E293" s="25"/>
    </row>
    <row r="294" spans="5:5" x14ac:dyDescent="0.2">
      <c r="E294" s="25"/>
    </row>
    <row r="295" spans="5:5" x14ac:dyDescent="0.2">
      <c r="E295" s="25"/>
    </row>
    <row r="296" spans="5:5" x14ac:dyDescent="0.2">
      <c r="E296" s="25"/>
    </row>
    <row r="297" spans="5:5" x14ac:dyDescent="0.2">
      <c r="E297" s="25"/>
    </row>
    <row r="298" spans="5:5" x14ac:dyDescent="0.2">
      <c r="E298" s="25"/>
    </row>
    <row r="299" spans="5:5" x14ac:dyDescent="0.2">
      <c r="E299" s="25"/>
    </row>
    <row r="300" spans="5:5" x14ac:dyDescent="0.2">
      <c r="E300" s="25"/>
    </row>
    <row r="301" spans="5:5" x14ac:dyDescent="0.2">
      <c r="E301" s="25"/>
    </row>
    <row r="302" spans="5:5" x14ac:dyDescent="0.2">
      <c r="E302" s="25"/>
    </row>
    <row r="303" spans="5:5" x14ac:dyDescent="0.2">
      <c r="E303" s="25"/>
    </row>
    <row r="304" spans="5:5" x14ac:dyDescent="0.2">
      <c r="E304" s="25"/>
    </row>
    <row r="305" spans="5:5" x14ac:dyDescent="0.2">
      <c r="E305" s="25"/>
    </row>
    <row r="306" spans="5:5" x14ac:dyDescent="0.2">
      <c r="E306" s="25"/>
    </row>
    <row r="307" spans="5:5" x14ac:dyDescent="0.2">
      <c r="E307" s="25"/>
    </row>
    <row r="308" spans="5:5" x14ac:dyDescent="0.2">
      <c r="E308" s="25"/>
    </row>
    <row r="309" spans="5:5" x14ac:dyDescent="0.2">
      <c r="E309" s="25"/>
    </row>
    <row r="310" spans="5:5" x14ac:dyDescent="0.2">
      <c r="E310" s="25"/>
    </row>
    <row r="311" spans="5:5" x14ac:dyDescent="0.2">
      <c r="E311" s="25"/>
    </row>
    <row r="312" spans="5:5" x14ac:dyDescent="0.2">
      <c r="E312" s="25"/>
    </row>
    <row r="313" spans="5:5" x14ac:dyDescent="0.2">
      <c r="E313" s="25"/>
    </row>
    <row r="314" spans="5:5" x14ac:dyDescent="0.2">
      <c r="E314" s="25"/>
    </row>
    <row r="315" spans="5:5" x14ac:dyDescent="0.2">
      <c r="E315" s="25"/>
    </row>
    <row r="316" spans="5:5" x14ac:dyDescent="0.2">
      <c r="E316" s="25"/>
    </row>
    <row r="317" spans="5:5" x14ac:dyDescent="0.2">
      <c r="E317" s="25"/>
    </row>
    <row r="318" spans="5:5" x14ac:dyDescent="0.2">
      <c r="E318" s="25"/>
    </row>
    <row r="319" spans="5:5" x14ac:dyDescent="0.2">
      <c r="E319" s="25"/>
    </row>
    <row r="320" spans="5:5" x14ac:dyDescent="0.2">
      <c r="E320" s="25"/>
    </row>
    <row r="321" spans="5:5" x14ac:dyDescent="0.2">
      <c r="E321" s="25"/>
    </row>
    <row r="322" spans="5:5" x14ac:dyDescent="0.2">
      <c r="E322" s="25"/>
    </row>
    <row r="323" spans="5:5" x14ac:dyDescent="0.2">
      <c r="E323" s="25"/>
    </row>
    <row r="324" spans="5:5" x14ac:dyDescent="0.2">
      <c r="E324" s="25"/>
    </row>
    <row r="325" spans="5:5" x14ac:dyDescent="0.2">
      <c r="E325" s="25"/>
    </row>
    <row r="326" spans="5:5" x14ac:dyDescent="0.2">
      <c r="E326" s="25"/>
    </row>
    <row r="327" spans="5:5" x14ac:dyDescent="0.2">
      <c r="E327" s="25"/>
    </row>
    <row r="328" spans="5:5" x14ac:dyDescent="0.2">
      <c r="E328" s="25"/>
    </row>
    <row r="329" spans="5:5" x14ac:dyDescent="0.2">
      <c r="E329" s="25"/>
    </row>
    <row r="330" spans="5:5" x14ac:dyDescent="0.2">
      <c r="E330" s="25"/>
    </row>
    <row r="331" spans="5:5" x14ac:dyDescent="0.2">
      <c r="E331" s="25"/>
    </row>
    <row r="332" spans="5:5" x14ac:dyDescent="0.2">
      <c r="E332" s="25"/>
    </row>
    <row r="333" spans="5:5" x14ac:dyDescent="0.2">
      <c r="E333" s="25"/>
    </row>
    <row r="334" spans="5:5" x14ac:dyDescent="0.2">
      <c r="E334" s="25"/>
    </row>
    <row r="335" spans="5:5" x14ac:dyDescent="0.2">
      <c r="E335" s="25"/>
    </row>
    <row r="336" spans="5:5" x14ac:dyDescent="0.2">
      <c r="E336" s="25"/>
    </row>
    <row r="337" spans="5:5" x14ac:dyDescent="0.2">
      <c r="E337" s="25"/>
    </row>
    <row r="338" spans="5:5" x14ac:dyDescent="0.2">
      <c r="E338" s="25"/>
    </row>
    <row r="339" spans="5:5" x14ac:dyDescent="0.2">
      <c r="E339" s="25"/>
    </row>
    <row r="340" spans="5:5" x14ac:dyDescent="0.2">
      <c r="E340" s="25"/>
    </row>
    <row r="341" spans="5:5" x14ac:dyDescent="0.2">
      <c r="E341" s="25"/>
    </row>
    <row r="342" spans="5:5" x14ac:dyDescent="0.2">
      <c r="E342" s="25"/>
    </row>
    <row r="343" spans="5:5" x14ac:dyDescent="0.2">
      <c r="E343" s="25"/>
    </row>
    <row r="344" spans="5:5" x14ac:dyDescent="0.2">
      <c r="E344" s="25"/>
    </row>
    <row r="345" spans="5:5" x14ac:dyDescent="0.2">
      <c r="E345" s="25"/>
    </row>
    <row r="346" spans="5:5" x14ac:dyDescent="0.2">
      <c r="E346" s="25"/>
    </row>
    <row r="347" spans="5:5" x14ac:dyDescent="0.2">
      <c r="E347" s="25"/>
    </row>
    <row r="348" spans="5:5" x14ac:dyDescent="0.2">
      <c r="E348" s="25"/>
    </row>
    <row r="349" spans="5:5" x14ac:dyDescent="0.2">
      <c r="E349" s="25"/>
    </row>
    <row r="350" spans="5:5" x14ac:dyDescent="0.2">
      <c r="E350" s="25"/>
    </row>
    <row r="351" spans="5:5" x14ac:dyDescent="0.2">
      <c r="E351" s="25"/>
    </row>
    <row r="352" spans="5:5" x14ac:dyDescent="0.2">
      <c r="E352" s="25"/>
    </row>
    <row r="353" spans="5:5" x14ac:dyDescent="0.2">
      <c r="E353" s="25"/>
    </row>
  </sheetData>
  <mergeCells count="2">
    <mergeCell ref="B2:E2"/>
    <mergeCell ref="B9:C1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1"/>
  <sheetViews>
    <sheetView topLeftCell="A4" workbookViewId="0">
      <selection activeCell="B12" sqref="B12"/>
    </sheetView>
  </sheetViews>
  <sheetFormatPr defaultColWidth="0" defaultRowHeight="12.75" x14ac:dyDescent="0.2"/>
  <cols>
    <col min="1" max="1" width="2.85546875" style="1" customWidth="1"/>
    <col min="2" max="2" width="11.7109375" style="1" bestFit="1" customWidth="1"/>
    <col min="3" max="3" width="26.7109375" style="1" bestFit="1" customWidth="1"/>
    <col min="4" max="4" width="2.7109375" style="1" customWidth="1"/>
    <col min="5" max="5" width="4" style="19" bestFit="1" customWidth="1"/>
    <col min="6" max="6" width="9" style="5" bestFit="1" customWidth="1"/>
    <col min="7" max="7" width="26.7109375" style="5" bestFit="1" customWidth="1"/>
    <col min="8" max="8" width="58.85546875" style="5" customWidth="1"/>
    <col min="9" max="9" width="9.85546875" style="5" bestFit="1" customWidth="1"/>
    <col min="10" max="10" width="13.42578125" style="5" bestFit="1" customWidth="1"/>
    <col min="11" max="11" width="23.7109375" style="5" bestFit="1" customWidth="1"/>
    <col min="12" max="12" width="20.28515625" style="5" bestFit="1" customWidth="1"/>
    <col min="13" max="13" width="17.85546875" style="3" bestFit="1" customWidth="1"/>
    <col min="14" max="14" width="9.140625" style="1" customWidth="1"/>
    <col min="15" max="16384" width="9.140625" style="1" hidden="1"/>
  </cols>
  <sheetData>
    <row r="1" spans="2:13" x14ac:dyDescent="0.2">
      <c r="E1" s="6"/>
      <c r="F1" s="1"/>
      <c r="G1" s="1"/>
      <c r="H1" s="1"/>
      <c r="I1" s="1"/>
      <c r="J1" s="1"/>
      <c r="K1" s="1"/>
      <c r="L1" s="1"/>
      <c r="M1" s="1"/>
    </row>
    <row r="2" spans="2:13" ht="23.25" thickBot="1" x14ac:dyDescent="0.35">
      <c r="B2" s="26" t="s">
        <v>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</row>
    <row r="3" spans="2:13" ht="13.5" thickTop="1" x14ac:dyDescent="0.2">
      <c r="E3" s="6"/>
      <c r="F3" s="1"/>
      <c r="G3" s="1"/>
      <c r="H3" s="1"/>
      <c r="I3" s="1"/>
      <c r="J3" s="1"/>
      <c r="K3" s="1"/>
      <c r="L3" s="1"/>
      <c r="M3" s="1"/>
    </row>
    <row r="4" spans="2:13" ht="13.5" thickBot="1" x14ac:dyDescent="0.25">
      <c r="B4" s="13" t="s">
        <v>3</v>
      </c>
      <c r="E4" s="28" t="s">
        <v>4</v>
      </c>
      <c r="F4" s="28"/>
      <c r="G4" s="1"/>
      <c r="H4" s="1"/>
      <c r="I4" s="1"/>
      <c r="J4" s="1"/>
      <c r="K4" s="1"/>
      <c r="L4" s="1"/>
      <c r="M4" s="1"/>
    </row>
    <row r="5" spans="2:13" ht="13.5" thickBot="1" x14ac:dyDescent="0.25">
      <c r="B5" s="17" t="s">
        <v>9</v>
      </c>
      <c r="C5" s="18" t="s">
        <v>27</v>
      </c>
      <c r="E5" s="14" t="str">
        <f t="array" ref="E5:M31">get_entity_by_name(C5)</f>
        <v/>
      </c>
      <c r="F5" s="15" t="str">
        <v>OUID</v>
      </c>
      <c r="G5" s="15" t="str">
        <v>RIAD_CODE</v>
      </c>
      <c r="H5" s="15" t="str">
        <v>RIAD_NAME</v>
      </c>
      <c r="I5" s="15" t="str">
        <v>COUNTRY</v>
      </c>
      <c r="J5" s="15" t="str">
        <v>ESA_SECTOR</v>
      </c>
      <c r="K5" s="15" t="str">
        <v>ESA_SECTOR_DETAILED</v>
      </c>
      <c r="L5" s="15" t="str">
        <v>COLLATERALGROUP</v>
      </c>
      <c r="M5" s="16" t="str">
        <v>CSPP_ASSSSMNT</v>
      </c>
    </row>
    <row r="6" spans="2:13" x14ac:dyDescent="0.2">
      <c r="E6" s="19">
        <v>0</v>
      </c>
      <c r="F6" s="5">
        <v>16566367</v>
      </c>
      <c r="G6" s="5" t="str">
        <v>AU-TEMP-LU-0000011</v>
      </c>
      <c r="H6" s="5" t="str">
        <v>Rio TINTO Limited</v>
      </c>
      <c r="I6" s="5" t="str">
        <v>AU</v>
      </c>
      <c r="J6" s="5" t="str">
        <v>S127</v>
      </c>
      <c r="K6" s="5" t="str">
        <v>-4</v>
      </c>
      <c r="L6" s="5" t="str">
        <v/>
      </c>
      <c r="M6" s="3" t="str">
        <v/>
      </c>
    </row>
    <row r="7" spans="2:13" x14ac:dyDescent="0.2">
      <c r="B7" s="27" t="s">
        <v>29</v>
      </c>
      <c r="C7" s="27"/>
      <c r="E7" s="19">
        <v>1</v>
      </c>
      <c r="F7" s="5">
        <v>14539667</v>
      </c>
      <c r="G7" s="5" t="str">
        <v>AU-TEMP-AT-5138051</v>
      </c>
      <c r="H7" s="5" t="str">
        <v>Rio Tinto Finance USA Ltd.</v>
      </c>
      <c r="I7" s="5" t="str">
        <v>AU</v>
      </c>
      <c r="J7" s="5" t="str">
        <v>S125</v>
      </c>
      <c r="K7" s="5" t="str">
        <v>S125_D</v>
      </c>
      <c r="L7" s="5" t="str">
        <v/>
      </c>
      <c r="M7" s="3" t="str">
        <v/>
      </c>
    </row>
    <row r="8" spans="2:13" x14ac:dyDescent="0.2">
      <c r="B8" s="27"/>
      <c r="C8" s="27"/>
      <c r="E8" s="19">
        <v>2</v>
      </c>
      <c r="F8" s="5">
        <v>10883139</v>
      </c>
      <c r="G8" s="5" t="str">
        <v>BE0431637033</v>
      </c>
      <c r="H8" s="5" t="str">
        <v>RIO TINTO DIAMONDS</v>
      </c>
      <c r="I8" s="5" t="str">
        <v>BE</v>
      </c>
      <c r="J8" s="5" t="str">
        <v>S11</v>
      </c>
      <c r="K8" s="5" t="str">
        <v>-4</v>
      </c>
      <c r="L8" s="5" t="str">
        <v/>
      </c>
      <c r="M8" s="3" t="str">
        <v/>
      </c>
    </row>
    <row r="9" spans="2:13" x14ac:dyDescent="0.2">
      <c r="B9" s="27"/>
      <c r="C9" s="27"/>
      <c r="E9" s="19">
        <v>3</v>
      </c>
      <c r="F9" s="5">
        <v>17539083</v>
      </c>
      <c r="G9" s="5" t="str">
        <v>BE0508623557</v>
      </c>
      <c r="H9" s="5" t="str">
        <v>Rio Tinto London Ltd</v>
      </c>
      <c r="I9" s="5" t="str">
        <v>BE</v>
      </c>
      <c r="J9" s="5" t="str">
        <v>S11</v>
      </c>
      <c r="K9" s="5" t="str">
        <v>-4</v>
      </c>
      <c r="L9" s="5" t="str">
        <v/>
      </c>
      <c r="M9" s="3" t="str">
        <v/>
      </c>
    </row>
    <row r="10" spans="2:13" x14ac:dyDescent="0.2">
      <c r="B10" s="27"/>
      <c r="C10" s="27"/>
      <c r="E10" s="19">
        <v>4</v>
      </c>
      <c r="F10" s="5">
        <v>17482793</v>
      </c>
      <c r="G10" s="5" t="str">
        <v>CA-TEMP-AT-19621990</v>
      </c>
      <c r="H10" s="5" t="str">
        <v>RIO TINTO FER ET TITANE INC</v>
      </c>
      <c r="I10" s="5" t="str">
        <v>CA</v>
      </c>
      <c r="J10" s="5" t="str">
        <v>S11</v>
      </c>
      <c r="K10" s="5" t="str">
        <v>-4</v>
      </c>
      <c r="L10" s="5" t="str">
        <v/>
      </c>
      <c r="M10" s="3" t="str">
        <v/>
      </c>
    </row>
    <row r="11" spans="2:13" x14ac:dyDescent="0.2">
      <c r="B11" s="27"/>
      <c r="C11" s="27"/>
      <c r="E11" s="19">
        <v>5</v>
      </c>
      <c r="F11" s="5">
        <v>113084</v>
      </c>
      <c r="G11" s="5" t="str">
        <v>CAAVID9523006</v>
      </c>
      <c r="H11" s="5" t="str">
        <v>Rio Tinto Alcan Inc.</v>
      </c>
      <c r="I11" s="5" t="str">
        <v>CA</v>
      </c>
      <c r="J11" s="5" t="str">
        <v>S11</v>
      </c>
      <c r="K11" s="5" t="str">
        <v>-4</v>
      </c>
      <c r="L11" s="5" t="str">
        <v/>
      </c>
      <c r="M11" s="3" t="str">
        <v/>
      </c>
    </row>
    <row r="12" spans="2:13" x14ac:dyDescent="0.2">
      <c r="E12" s="19">
        <v>6</v>
      </c>
      <c r="F12" s="5">
        <v>16645550</v>
      </c>
      <c r="G12" s="5" t="str">
        <v>CAECBM186718</v>
      </c>
      <c r="H12" s="5" t="str">
        <v>Rio Tinto Aluminium Canada Master Trust</v>
      </c>
      <c r="I12" s="5" t="str">
        <v>CA</v>
      </c>
      <c r="J12" s="5" t="str">
        <v>S124</v>
      </c>
      <c r="K12" s="5" t="str">
        <v>-4</v>
      </c>
      <c r="L12" s="5" t="str">
        <v/>
      </c>
      <c r="M12" s="3" t="str">
        <v/>
      </c>
    </row>
    <row r="13" spans="2:13" x14ac:dyDescent="0.2">
      <c r="E13" s="19">
        <v>7</v>
      </c>
      <c r="F13" s="5">
        <v>17751189</v>
      </c>
      <c r="G13" s="5" t="str">
        <v>CA-TEMP-E$-MMSR72385</v>
      </c>
      <c r="H13" s="5" t="str">
        <v>Rio Tinto Canada Master Trust Fund</v>
      </c>
      <c r="I13" s="5" t="str">
        <v>CA</v>
      </c>
      <c r="J13" s="5" t="str">
        <v>S124</v>
      </c>
      <c r="K13" s="5" t="str">
        <v>-4</v>
      </c>
      <c r="L13" s="5" t="str">
        <v/>
      </c>
      <c r="M13" s="3" t="str">
        <v/>
      </c>
    </row>
    <row r="14" spans="2:13" x14ac:dyDescent="0.2">
      <c r="E14" s="19">
        <v>8</v>
      </c>
      <c r="F14" s="5">
        <v>14540110</v>
      </c>
      <c r="G14" s="5" t="str">
        <v>DEA1VR1</v>
      </c>
      <c r="H14" s="5" t="str">
        <v>RIO TINTO IRON &amp; TITANIUM GMBH</v>
      </c>
      <c r="I14" s="5" t="str">
        <v>DE</v>
      </c>
      <c r="J14" s="5" t="str">
        <v>S11</v>
      </c>
      <c r="K14" s="5" t="str">
        <v>-4</v>
      </c>
      <c r="L14" s="5" t="str">
        <v/>
      </c>
      <c r="M14" s="3" t="str">
        <v/>
      </c>
    </row>
    <row r="15" spans="2:13" x14ac:dyDescent="0.2">
      <c r="E15" s="19">
        <v>9</v>
      </c>
      <c r="F15" s="5">
        <v>130344</v>
      </c>
      <c r="G15" s="5" t="str">
        <v>DEA3E9H</v>
      </c>
      <c r="H15" s="5" t="str">
        <v>Rio Tinto Iron &amp; Titanium Holdings GmbH</v>
      </c>
      <c r="I15" s="5" t="str">
        <v>DE</v>
      </c>
      <c r="J15" s="5" t="str">
        <v>S127</v>
      </c>
      <c r="K15" s="5" t="str">
        <v>S127_A</v>
      </c>
      <c r="L15" s="5" t="str">
        <v/>
      </c>
      <c r="M15" s="3" t="str">
        <v/>
      </c>
    </row>
    <row r="16" spans="2:13" x14ac:dyDescent="0.2">
      <c r="E16" s="19">
        <v>10</v>
      </c>
      <c r="F16" s="5">
        <v>14335261</v>
      </c>
      <c r="G16" s="5" t="str">
        <v>ESA21102371</v>
      </c>
      <c r="H16" s="5" t="str">
        <v>RIO TINTO FRUIT S A</v>
      </c>
      <c r="I16" s="5" t="str">
        <v>ES</v>
      </c>
      <c r="J16" s="5" t="str">
        <v>S11</v>
      </c>
      <c r="K16" s="5" t="str">
        <v>S11_C</v>
      </c>
      <c r="L16" s="5" t="str">
        <v/>
      </c>
      <c r="M16" s="3" t="str">
        <v/>
      </c>
    </row>
    <row r="17" spans="5:13" x14ac:dyDescent="0.2">
      <c r="E17" s="19">
        <v>11</v>
      </c>
      <c r="F17" s="5">
        <v>14285944</v>
      </c>
      <c r="G17" s="5" t="str">
        <v>ESB84854207</v>
      </c>
      <c r="H17" s="5" t="str">
        <v>RIO TINTO MEDIA S L</v>
      </c>
      <c r="I17" s="5" t="str">
        <v>ES</v>
      </c>
      <c r="J17" s="5" t="str">
        <v>S11</v>
      </c>
      <c r="K17" s="5" t="str">
        <v>S11_C</v>
      </c>
      <c r="L17" s="5" t="str">
        <v/>
      </c>
      <c r="M17" s="3" t="str">
        <v/>
      </c>
    </row>
    <row r="18" spans="5:13" x14ac:dyDescent="0.2">
      <c r="E18" s="19">
        <v>12</v>
      </c>
      <c r="F18" s="5">
        <v>14450747</v>
      </c>
      <c r="G18" s="5" t="str">
        <v>ESB81480691</v>
      </c>
      <c r="H18" s="5" t="str">
        <v>RIO TINTO PLASTICOS S L</v>
      </c>
      <c r="I18" s="5" t="str">
        <v>ES</v>
      </c>
      <c r="J18" s="5" t="str">
        <v>S11</v>
      </c>
      <c r="K18" s="5" t="str">
        <v>S11_C</v>
      </c>
      <c r="L18" s="5" t="str">
        <v/>
      </c>
      <c r="M18" s="3" t="str">
        <v/>
      </c>
    </row>
    <row r="19" spans="5:13" x14ac:dyDescent="0.2">
      <c r="E19" s="19">
        <v>13</v>
      </c>
      <c r="F19" s="5">
        <v>14133934</v>
      </c>
      <c r="G19" s="5" t="str">
        <v>ESB21402045</v>
      </c>
      <c r="H19" s="5" t="str">
        <v>RIO TINTO TURISTICA SL</v>
      </c>
      <c r="I19" s="5" t="str">
        <v>ES</v>
      </c>
      <c r="J19" s="5" t="str">
        <v>S11</v>
      </c>
      <c r="K19" s="5" t="str">
        <v>S11_C</v>
      </c>
      <c r="L19" s="5" t="str">
        <v/>
      </c>
      <c r="M19" s="3" t="str">
        <v/>
      </c>
    </row>
    <row r="20" spans="5:13" x14ac:dyDescent="0.2">
      <c r="E20" s="19">
        <v>14</v>
      </c>
      <c r="F20" s="5">
        <v>16116985</v>
      </c>
      <c r="G20" s="5" t="str">
        <v>FR519029557</v>
      </c>
      <c r="H20" s="5" t="str">
        <v>RIO TINTO IRON ORE EUROPE SAS</v>
      </c>
      <c r="I20" s="5" t="str">
        <v>FR</v>
      </c>
      <c r="J20" s="5" t="str">
        <v>S11</v>
      </c>
      <c r="K20" s="5" t="str">
        <v>-4</v>
      </c>
      <c r="L20" s="5" t="str">
        <v/>
      </c>
      <c r="M20" s="3" t="str">
        <v/>
      </c>
    </row>
    <row r="21" spans="5:13" x14ac:dyDescent="0.2">
      <c r="E21" s="19">
        <v>15</v>
      </c>
      <c r="F21" s="5">
        <v>540093</v>
      </c>
      <c r="G21" s="5" t="str">
        <v>GB0ECBM05781</v>
      </c>
      <c r="H21" s="5" t="str">
        <v>RIO TINTO FINANCE PLC</v>
      </c>
      <c r="I21" s="5" t="str">
        <v>GB</v>
      </c>
      <c r="J21" s="5" t="str">
        <v>S125</v>
      </c>
      <c r="K21" s="5" t="str">
        <v>S125_C</v>
      </c>
      <c r="L21" s="5" t="str">
        <v>IG9</v>
      </c>
      <c r="M21" s="3" t="str">
        <v/>
      </c>
    </row>
    <row r="22" spans="5:13" x14ac:dyDescent="0.2">
      <c r="E22" s="19">
        <v>16</v>
      </c>
      <c r="F22" s="5">
        <v>17507286</v>
      </c>
      <c r="G22" s="5" t="str">
        <v>GB-TEMP-AT-19636229</v>
      </c>
      <c r="H22" s="5" t="str">
        <v>RIO TINTO INTERNATIONAL HOLDINGS LIMITED</v>
      </c>
      <c r="I22" s="5" t="str">
        <v>GB</v>
      </c>
      <c r="J22" s="5" t="str">
        <v>S11</v>
      </c>
      <c r="K22" s="5" t="str">
        <v>S11_B</v>
      </c>
      <c r="L22" s="5" t="str">
        <v/>
      </c>
      <c r="M22" s="3" t="str">
        <v/>
      </c>
    </row>
    <row r="23" spans="5:13" x14ac:dyDescent="0.2">
      <c r="E23" s="19">
        <v>17</v>
      </c>
      <c r="F23" s="5">
        <v>17439428</v>
      </c>
      <c r="G23" s="5" t="str">
        <v>GB-TEMP-DE-1517343360534</v>
      </c>
      <c r="H23" s="5" t="str">
        <v>RIO TINTO LONDON LIMITED</v>
      </c>
      <c r="I23" s="5" t="str">
        <v>GB</v>
      </c>
      <c r="J23" s="5" t="str">
        <v>S11</v>
      </c>
      <c r="K23" s="5" t="str">
        <v>-4</v>
      </c>
      <c r="L23" s="5" t="str">
        <v/>
      </c>
      <c r="M23" s="3" t="str">
        <v/>
      </c>
    </row>
    <row r="24" spans="5:13" x14ac:dyDescent="0.2">
      <c r="E24" s="19">
        <v>18</v>
      </c>
      <c r="F24" s="5">
        <v>17460488</v>
      </c>
      <c r="G24" s="5" t="str">
        <v>GB-TEMP-DE-1517347163602</v>
      </c>
      <c r="H24" s="5" t="str">
        <v>RIO TINTO MINING AND EXPLORATION LIMITED</v>
      </c>
      <c r="I24" s="5" t="str">
        <v>GB</v>
      </c>
      <c r="J24" s="5" t="str">
        <v>S11</v>
      </c>
      <c r="K24" s="5" t="str">
        <v>-4</v>
      </c>
      <c r="L24" s="5" t="str">
        <v/>
      </c>
      <c r="M24" s="3" t="str">
        <v/>
      </c>
    </row>
    <row r="25" spans="5:13" x14ac:dyDescent="0.2">
      <c r="E25" s="19">
        <v>19</v>
      </c>
      <c r="F25" s="5">
        <v>17439952</v>
      </c>
      <c r="G25" s="5" t="str">
        <v>GB-TEMP-DE-1517349879148</v>
      </c>
      <c r="H25" s="5" t="str">
        <v>RIO TINTO PLC</v>
      </c>
      <c r="I25" s="5" t="str">
        <v>GB</v>
      </c>
      <c r="J25" s="5" t="str">
        <v>S11</v>
      </c>
      <c r="K25" s="5" t="str">
        <v>-4</v>
      </c>
      <c r="L25" s="5" t="str">
        <v/>
      </c>
      <c r="M25" s="3" t="str">
        <v/>
      </c>
    </row>
    <row r="26" spans="5:13" x14ac:dyDescent="0.2">
      <c r="E26" s="19">
        <v>20</v>
      </c>
      <c r="F26" s="5">
        <v>17114632</v>
      </c>
      <c r="G26" s="5" t="str">
        <v>GB-TEMP-IE-CBI00370593</v>
      </c>
      <c r="H26" s="5" t="str">
        <v>Rio Tinto 2009 Pension Fund</v>
      </c>
      <c r="I26" s="5" t="str">
        <v>GB</v>
      </c>
      <c r="J26" s="5" t="str">
        <v>S11</v>
      </c>
      <c r="K26" s="5" t="str">
        <v>-4</v>
      </c>
      <c r="L26" s="5" t="str">
        <v/>
      </c>
      <c r="M26" s="3" t="str">
        <v/>
      </c>
    </row>
    <row r="27" spans="5:13" x14ac:dyDescent="0.2">
      <c r="E27" s="19">
        <v>21</v>
      </c>
      <c r="F27" s="5">
        <v>14560477</v>
      </c>
      <c r="G27" s="5" t="str">
        <v>GBECBM332197</v>
      </c>
      <c r="H27" s="5" t="str">
        <v>Rio Tinto Finance (USA) PLC</v>
      </c>
      <c r="I27" s="5" t="str">
        <v>GB</v>
      </c>
      <c r="J27" s="5" t="str">
        <v>S125</v>
      </c>
      <c r="K27" s="5" t="str">
        <v>S125_D</v>
      </c>
      <c r="L27" s="5" t="str">
        <v/>
      </c>
      <c r="M27" s="3" t="str">
        <v/>
      </c>
    </row>
    <row r="28" spans="5:13" x14ac:dyDescent="0.2">
      <c r="E28" s="19">
        <v>22</v>
      </c>
      <c r="F28" s="5">
        <v>491749</v>
      </c>
      <c r="G28" s="5" t="str">
        <v>GBAVID3208298</v>
      </c>
      <c r="H28" s="5" t="str">
        <v>Rio Tinto PLC</v>
      </c>
      <c r="I28" s="5" t="str">
        <v>GB</v>
      </c>
      <c r="J28" s="5" t="str">
        <v>S11</v>
      </c>
      <c r="K28" s="5" t="str">
        <v>-4</v>
      </c>
      <c r="L28" s="5" t="str">
        <v>IG3</v>
      </c>
      <c r="M28" s="3" t="str">
        <v/>
      </c>
    </row>
    <row r="29" spans="5:13" x14ac:dyDescent="0.2">
      <c r="E29" s="19">
        <v>23</v>
      </c>
      <c r="F29" s="5">
        <v>17405998</v>
      </c>
      <c r="G29" s="5" t="str">
        <v>GB-TEMP-E$-MMSR69829</v>
      </c>
      <c r="H29" s="5" t="str">
        <v>Rio Tinto Pension Fund Trustees Limited</v>
      </c>
      <c r="I29" s="5" t="str">
        <v>GB</v>
      </c>
      <c r="J29" s="5" t="str">
        <v>S129</v>
      </c>
      <c r="K29" s="5" t="str">
        <v>0</v>
      </c>
      <c r="L29" s="5" t="str">
        <v/>
      </c>
      <c r="M29" s="3" t="str">
        <v/>
      </c>
    </row>
    <row r="30" spans="5:13" x14ac:dyDescent="0.2">
      <c r="E30" s="19">
        <v>24</v>
      </c>
      <c r="F30" s="5">
        <v>16955521</v>
      </c>
      <c r="G30" s="5" t="str">
        <v>IS-TEMP-AT-19184468</v>
      </c>
      <c r="H30" s="5" t="str">
        <v>RIO TINTO ALCAN A ISLANDI HF.</v>
      </c>
      <c r="I30" s="5" t="str">
        <v>IS</v>
      </c>
      <c r="J30" s="5" t="str">
        <v>S11</v>
      </c>
      <c r="K30" s="5" t="str">
        <v>-4</v>
      </c>
      <c r="L30" s="5" t="str">
        <v/>
      </c>
      <c r="M30" s="3" t="str">
        <v/>
      </c>
    </row>
    <row r="31" spans="5:13" x14ac:dyDescent="0.2">
      <c r="E31" s="19">
        <v>25</v>
      </c>
      <c r="F31" s="5">
        <v>17009209</v>
      </c>
      <c r="G31" s="5" t="str">
        <v>US-TEMP-E$-MMSR68321</v>
      </c>
      <c r="H31" s="5" t="str">
        <v>Rio Tinto America Master Retirement Trust</v>
      </c>
      <c r="I31" s="5" t="str">
        <v>US</v>
      </c>
      <c r="J31" s="5" t="str">
        <v>S129</v>
      </c>
      <c r="K31" s="5" t="str">
        <v>0</v>
      </c>
      <c r="L31" s="5" t="str">
        <v/>
      </c>
      <c r="M31" s="3" t="str">
        <v/>
      </c>
    </row>
  </sheetData>
  <mergeCells count="3">
    <mergeCell ref="E4:F4"/>
    <mergeCell ref="B2:M2"/>
    <mergeCell ref="B7:C1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O13"/>
  <sheetViews>
    <sheetView workbookViewId="0">
      <selection activeCell="C7" sqref="C7"/>
    </sheetView>
  </sheetViews>
  <sheetFormatPr defaultRowHeight="12.75" x14ac:dyDescent="0.2"/>
  <cols>
    <col min="1" max="1" width="2.42578125" style="1" customWidth="1"/>
    <col min="2" max="2" width="13.28515625" style="1" bestFit="1" customWidth="1"/>
    <col min="3" max="3" width="15.5703125" style="1" bestFit="1" customWidth="1"/>
    <col min="4" max="4" width="2.5703125" style="1" customWidth="1"/>
    <col min="5" max="5" width="2" style="20" bestFit="1" customWidth="1"/>
    <col min="6" max="6" width="9" style="5" bestFit="1" customWidth="1"/>
    <col min="7" max="7" width="15.5703125" style="2" bestFit="1" customWidth="1"/>
    <col min="8" max="8" width="51.28515625" style="2" bestFit="1" customWidth="1"/>
    <col min="9" max="9" width="10.85546875" style="2" bestFit="1" customWidth="1"/>
    <col min="10" max="10" width="6.5703125" style="2" bestFit="1" customWidth="1"/>
    <col min="11" max="11" width="12.5703125" style="2" bestFit="1" customWidth="1"/>
    <col min="12" max="12" width="16.28515625" style="2" bestFit="1" customWidth="1"/>
    <col min="13" max="13" width="10.85546875" style="2" bestFit="1" customWidth="1"/>
    <col min="14" max="14" width="17.7109375" style="2" bestFit="1" customWidth="1"/>
    <col min="15" max="15" width="26.42578125" style="2" bestFit="1" customWidth="1"/>
    <col min="16" max="16384" width="9.140625" style="1"/>
  </cols>
  <sheetData>
    <row r="1" spans="2:15" x14ac:dyDescent="0.2">
      <c r="E1" s="6"/>
      <c r="F1" s="6"/>
      <c r="G1" s="1"/>
      <c r="H1" s="1"/>
      <c r="I1" s="1"/>
      <c r="J1" s="1"/>
      <c r="K1" s="1"/>
      <c r="L1" s="1"/>
      <c r="M1" s="1"/>
      <c r="N1" s="1"/>
      <c r="O1" s="1"/>
    </row>
    <row r="2" spans="2:15" ht="23.25" thickBot="1" x14ac:dyDescent="0.35">
      <c r="B2" s="26" t="s">
        <v>10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2:15" ht="13.5" thickTop="1" x14ac:dyDescent="0.2">
      <c r="E3" s="6"/>
      <c r="F3" s="6"/>
      <c r="G3" s="1"/>
      <c r="H3" s="1"/>
      <c r="I3" s="1"/>
      <c r="J3" s="1"/>
      <c r="K3" s="1"/>
      <c r="L3" s="1"/>
      <c r="M3" s="1"/>
      <c r="N3" s="1"/>
      <c r="O3" s="1"/>
    </row>
    <row r="4" spans="2:15" ht="13.5" thickBot="1" x14ac:dyDescent="0.25">
      <c r="B4" s="13"/>
      <c r="E4" s="13"/>
      <c r="F4" s="13"/>
      <c r="G4" s="1"/>
      <c r="H4" s="1"/>
      <c r="I4" s="1"/>
      <c r="J4" s="1"/>
      <c r="K4" s="1"/>
      <c r="L4" s="1"/>
      <c r="M4" s="1"/>
      <c r="N4" s="1"/>
      <c r="O4" s="1"/>
    </row>
    <row r="5" spans="2:15" x14ac:dyDescent="0.2">
      <c r="B5" s="10" t="s">
        <v>11</v>
      </c>
      <c r="C5" s="7" t="s">
        <v>6</v>
      </c>
      <c r="E5" s="20" t="str">
        <f t="array" ref="E5:O6">get_close_links_by_ids(C5:C6)</f>
        <v/>
      </c>
      <c r="F5" s="20" t="str">
        <v>OUID1</v>
      </c>
      <c r="G5" s="21" t="str">
        <v>RIAD_CODE1</v>
      </c>
      <c r="H5" s="21" t="str">
        <v>NAME1</v>
      </c>
      <c r="I5" s="21" t="str">
        <v>COUNTRY1</v>
      </c>
      <c r="J5" s="21" t="str">
        <v>OUID2</v>
      </c>
      <c r="K5" s="21" t="str">
        <v>RIAD_CODE2</v>
      </c>
      <c r="L5" s="21" t="str">
        <v>NAME2</v>
      </c>
      <c r="M5" s="21" t="str">
        <v>COUNTRY2</v>
      </c>
      <c r="N5" s="21" t="str">
        <v>CLOSELINK_DATE</v>
      </c>
      <c r="O5" s="21" t="str">
        <v>OWNERSHIP_PERCENTAGE</v>
      </c>
    </row>
    <row r="6" spans="2:15" x14ac:dyDescent="0.2">
      <c r="B6" s="11" t="s">
        <v>12</v>
      </c>
      <c r="C6" s="8" t="s">
        <v>5</v>
      </c>
      <c r="E6" s="20">
        <v>0</v>
      </c>
      <c r="F6" s="5">
        <v>17543511</v>
      </c>
      <c r="G6" s="2" t="str">
        <v>IT0004847230518</v>
      </c>
      <c r="H6" s="2" t="str">
        <v>BARCLAYS BANK IRELAND PUBLIC LIMITED COMPANY</v>
      </c>
      <c r="I6" s="2" t="str">
        <v>IT</v>
      </c>
      <c r="J6" s="2">
        <v>4998</v>
      </c>
      <c r="K6" s="2" t="str">
        <v>GB0570</v>
      </c>
      <c r="L6" s="2" t="str">
        <v>Barclays Bank plc</v>
      </c>
      <c r="M6" s="2" t="str">
        <v>GB</v>
      </c>
      <c r="N6" s="2">
        <v>43551</v>
      </c>
      <c r="O6" s="2">
        <v>1</v>
      </c>
    </row>
    <row r="7" spans="2:15" ht="13.5" thickBot="1" x14ac:dyDescent="0.25">
      <c r="B7" s="12"/>
      <c r="C7" s="9"/>
    </row>
    <row r="9" spans="2:15" x14ac:dyDescent="0.2">
      <c r="B9" s="27"/>
      <c r="C9" s="27"/>
    </row>
    <row r="10" spans="2:15" x14ac:dyDescent="0.2">
      <c r="B10" s="27"/>
      <c r="C10" s="27"/>
    </row>
    <row r="11" spans="2:15" x14ac:dyDescent="0.2">
      <c r="B11" s="27"/>
      <c r="C11" s="27"/>
    </row>
    <row r="12" spans="2:15" x14ac:dyDescent="0.2">
      <c r="B12" s="27"/>
      <c r="C12" s="27"/>
    </row>
    <row r="13" spans="2:15" x14ac:dyDescent="0.2">
      <c r="B13" s="27"/>
      <c r="C13" s="27"/>
    </row>
  </sheetData>
  <mergeCells count="2">
    <mergeCell ref="B9:C13"/>
    <mergeCell ref="B2:O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6"/>
  <sheetViews>
    <sheetView tabSelected="1" workbookViewId="0">
      <selection activeCell="C6" sqref="C6"/>
    </sheetView>
  </sheetViews>
  <sheetFormatPr defaultRowHeight="12.75" x14ac:dyDescent="0.2"/>
  <cols>
    <col min="1" max="1" width="2.42578125" style="1" customWidth="1"/>
    <col min="2" max="2" width="13.28515625" style="1" bestFit="1" customWidth="1"/>
    <col min="3" max="3" width="15.5703125" style="1" bestFit="1" customWidth="1"/>
    <col min="4" max="4" width="2.5703125" style="1" customWidth="1"/>
    <col min="5" max="5" width="4" style="20" bestFit="1" customWidth="1"/>
    <col min="6" max="6" width="14.140625" style="5" bestFit="1" customWidth="1"/>
    <col min="7" max="7" width="17.5703125" style="2" bestFit="1" customWidth="1"/>
    <col min="8" max="8" width="15.7109375" style="2" bestFit="1" customWidth="1"/>
    <col min="9" max="9" width="14.85546875" style="2" bestFit="1" customWidth="1"/>
    <col min="10" max="10" width="12.85546875" style="2" bestFit="1" customWidth="1"/>
    <col min="11" max="16384" width="9.140625" style="1"/>
  </cols>
  <sheetData>
    <row r="1" spans="2:10" x14ac:dyDescent="0.2">
      <c r="E1" s="6"/>
      <c r="F1" s="6"/>
      <c r="G1" s="1"/>
      <c r="H1" s="1"/>
      <c r="I1" s="1"/>
      <c r="J1" s="1"/>
    </row>
    <row r="2" spans="2:10" ht="23.25" thickBot="1" x14ac:dyDescent="0.35">
      <c r="B2" s="26" t="s">
        <v>10</v>
      </c>
      <c r="C2" s="26"/>
      <c r="D2" s="26"/>
      <c r="E2" s="26"/>
      <c r="F2" s="26"/>
      <c r="G2" s="26"/>
      <c r="H2" s="26"/>
      <c r="I2" s="26"/>
      <c r="J2" s="26"/>
    </row>
    <row r="3" spans="2:10" ht="13.5" thickTop="1" x14ac:dyDescent="0.2">
      <c r="E3" s="6"/>
      <c r="F3" s="6"/>
      <c r="G3" s="1"/>
      <c r="H3" s="1"/>
      <c r="I3" s="1"/>
      <c r="J3" s="1"/>
    </row>
    <row r="4" spans="2:10" ht="13.5" thickBot="1" x14ac:dyDescent="0.25">
      <c r="B4" s="13"/>
      <c r="E4" s="13"/>
      <c r="F4" s="13"/>
      <c r="G4" s="1"/>
      <c r="H4" s="1"/>
      <c r="I4" s="1"/>
      <c r="J4" s="1"/>
    </row>
    <row r="5" spans="2:10" x14ac:dyDescent="0.2">
      <c r="B5" s="10" t="s">
        <v>11</v>
      </c>
      <c r="C5" s="7" t="s">
        <v>6</v>
      </c>
      <c r="E5" s="20" t="str">
        <f t="array" ref="E5:J156">get_close_linked_assets(C5)</f>
        <v/>
      </c>
      <c r="F5" s="20" t="str">
        <v>ISSUER_CODE</v>
      </c>
      <c r="G5" s="21" t="str">
        <v>ISSUER_NAME</v>
      </c>
      <c r="H5" s="21" t="str">
        <v>ISSUER_GROUP</v>
      </c>
      <c r="I5" s="21" t="str">
        <v>ISIN_CODE</v>
      </c>
      <c r="J5" s="21" t="str">
        <v>ASSET_TYPE</v>
      </c>
    </row>
    <row r="6" spans="2:10" x14ac:dyDescent="0.2">
      <c r="B6" s="11"/>
      <c r="C6" s="8"/>
      <c r="E6" s="20">
        <v>0</v>
      </c>
      <c r="F6" s="5" t="str">
        <v>GB0570</v>
      </c>
      <c r="G6" s="2" t="str">
        <v>Barclays Bank PLC</v>
      </c>
      <c r="H6" s="2" t="str">
        <v>IG4</v>
      </c>
      <c r="I6" s="2" t="str">
        <v>XS1771112445</v>
      </c>
      <c r="J6" s="2" t="str">
        <v>AT02</v>
      </c>
    </row>
    <row r="7" spans="2:10" ht="13.5" thickBot="1" x14ac:dyDescent="0.25">
      <c r="B7" s="12"/>
      <c r="C7" s="9"/>
      <c r="E7" s="20">
        <v>1</v>
      </c>
      <c r="F7" s="5" t="str">
        <v>GB0570</v>
      </c>
      <c r="G7" s="2" t="str">
        <v>Barclays Bank PLC</v>
      </c>
      <c r="H7" s="2" t="str">
        <v>IG4</v>
      </c>
      <c r="I7" s="2" t="str">
        <v>DE000BC0AS64</v>
      </c>
      <c r="J7" s="2" t="str">
        <v>AT02</v>
      </c>
    </row>
    <row r="8" spans="2:10" x14ac:dyDescent="0.2">
      <c r="E8" s="20">
        <v>2</v>
      </c>
      <c r="F8" s="5" t="str">
        <v>GB0570</v>
      </c>
      <c r="G8" s="2" t="str">
        <v>Barclays Bank PLC</v>
      </c>
      <c r="H8" s="2" t="str">
        <v>IG4</v>
      </c>
      <c r="I8" s="2" t="str">
        <v>XS1620524204</v>
      </c>
      <c r="J8" s="2" t="str">
        <v>AT02</v>
      </c>
    </row>
    <row r="9" spans="2:10" x14ac:dyDescent="0.2">
      <c r="B9" s="27"/>
      <c r="C9" s="27"/>
      <c r="E9" s="20">
        <v>3</v>
      </c>
      <c r="F9" s="5" t="str">
        <v>GB0570</v>
      </c>
      <c r="G9" s="2" t="str">
        <v>Barclays Bank PLC</v>
      </c>
      <c r="H9" s="2" t="str">
        <v>IG4</v>
      </c>
      <c r="I9" s="2" t="str">
        <v>XS1056933200</v>
      </c>
      <c r="J9" s="2" t="str">
        <v>AT02</v>
      </c>
    </row>
    <row r="10" spans="2:10" x14ac:dyDescent="0.2">
      <c r="B10" s="27"/>
      <c r="C10" s="27"/>
      <c r="E10" s="20">
        <v>4</v>
      </c>
      <c r="F10" s="5" t="str">
        <v>GB0570</v>
      </c>
      <c r="G10" s="2" t="str">
        <v>Barclays Bank PLC</v>
      </c>
      <c r="H10" s="2" t="str">
        <v>IG4</v>
      </c>
      <c r="I10" s="2" t="str">
        <v>XS0833690786</v>
      </c>
      <c r="J10" s="2" t="str">
        <v>AT02</v>
      </c>
    </row>
    <row r="11" spans="2:10" x14ac:dyDescent="0.2">
      <c r="B11" s="27"/>
      <c r="C11" s="27"/>
      <c r="E11" s="20">
        <v>5</v>
      </c>
      <c r="F11" s="5" t="str">
        <v>GB0570</v>
      </c>
      <c r="G11" s="2" t="str">
        <v>Barclays Bank PLC</v>
      </c>
      <c r="H11" s="2" t="str">
        <v>IG4</v>
      </c>
      <c r="I11" s="2" t="str">
        <v>XS1068106134</v>
      </c>
      <c r="J11" s="2" t="str">
        <v>AT02</v>
      </c>
    </row>
    <row r="12" spans="2:10" x14ac:dyDescent="0.2">
      <c r="B12" s="27"/>
      <c r="C12" s="27"/>
      <c r="E12" s="20">
        <v>6</v>
      </c>
      <c r="F12" s="5" t="str">
        <v>GB0570</v>
      </c>
      <c r="G12" s="2" t="str">
        <v>Barclays Bank PLC</v>
      </c>
      <c r="H12" s="2" t="str">
        <v>IG4</v>
      </c>
      <c r="I12" s="2" t="str">
        <v>XS1035751764</v>
      </c>
      <c r="J12" s="2" t="str">
        <v>AT02</v>
      </c>
    </row>
    <row r="13" spans="2:10" x14ac:dyDescent="0.2">
      <c r="B13" s="27"/>
      <c r="C13" s="27"/>
      <c r="E13" s="20">
        <v>7</v>
      </c>
      <c r="F13" s="5" t="str">
        <v>GB0570</v>
      </c>
      <c r="G13" s="2" t="str">
        <v>Barclays Bank plc</v>
      </c>
      <c r="H13" s="2" t="str">
        <v>IG4</v>
      </c>
      <c r="I13" s="2" t="str">
        <v>IT0006716564</v>
      </c>
      <c r="J13" s="2" t="str">
        <v>AT02</v>
      </c>
    </row>
    <row r="14" spans="2:10" x14ac:dyDescent="0.2">
      <c r="E14" s="20">
        <v>8</v>
      </c>
      <c r="F14" s="5" t="str">
        <v>GB0570</v>
      </c>
      <c r="G14" s="2" t="str">
        <v>Barclays Bank plc</v>
      </c>
      <c r="H14" s="2" t="str">
        <v>IG4</v>
      </c>
      <c r="I14" s="2" t="str">
        <v>IT0006729377</v>
      </c>
      <c r="J14" s="2" t="str">
        <v>AT02</v>
      </c>
    </row>
    <row r="15" spans="2:10" x14ac:dyDescent="0.2">
      <c r="E15" s="20">
        <v>9</v>
      </c>
      <c r="F15" s="5" t="str">
        <v>GB0570</v>
      </c>
      <c r="G15" s="2" t="str">
        <v>Barclays Bank PLC</v>
      </c>
      <c r="H15" s="2" t="str">
        <v>IG4</v>
      </c>
      <c r="I15" s="2" t="str">
        <v>XS1862374631</v>
      </c>
      <c r="J15" s="2" t="str">
        <v>AT02</v>
      </c>
    </row>
    <row r="16" spans="2:10" x14ac:dyDescent="0.2">
      <c r="E16" s="20">
        <v>10</v>
      </c>
      <c r="F16" s="5" t="str">
        <v>GB0570</v>
      </c>
      <c r="G16" s="2" t="str">
        <v>Barclays Bank PLC</v>
      </c>
      <c r="H16" s="2" t="str">
        <v>IG4</v>
      </c>
      <c r="I16" s="2" t="str">
        <v>XS1037699573</v>
      </c>
      <c r="J16" s="2" t="str">
        <v>AT02</v>
      </c>
    </row>
    <row r="17" spans="5:10" x14ac:dyDescent="0.2">
      <c r="E17" s="20">
        <v>11</v>
      </c>
      <c r="F17" s="5" t="str">
        <v>GB0570</v>
      </c>
      <c r="G17" s="2" t="str">
        <v>Barclays Bank PLC</v>
      </c>
      <c r="H17" s="2" t="str">
        <v>IG4</v>
      </c>
      <c r="I17" s="2" t="str">
        <v>XS1929504733</v>
      </c>
      <c r="J17" s="2" t="str">
        <v>AT02</v>
      </c>
    </row>
    <row r="18" spans="5:10" x14ac:dyDescent="0.2">
      <c r="E18" s="20">
        <v>12</v>
      </c>
      <c r="F18" s="5" t="str">
        <v>GB0570</v>
      </c>
      <c r="G18" s="2" t="str">
        <v>Barclays Bank PLC</v>
      </c>
      <c r="H18" s="2" t="str">
        <v>IG4</v>
      </c>
      <c r="I18" s="2" t="str">
        <v>XS1929504816</v>
      </c>
      <c r="J18" s="2" t="str">
        <v>AT02</v>
      </c>
    </row>
    <row r="19" spans="5:10" x14ac:dyDescent="0.2">
      <c r="E19" s="20">
        <v>13</v>
      </c>
      <c r="F19" s="5" t="str">
        <v>GB0570</v>
      </c>
      <c r="G19" s="2" t="str">
        <v>Barclays Bank plc</v>
      </c>
      <c r="H19" s="2" t="str">
        <v>IG4</v>
      </c>
      <c r="I19" s="2" t="str">
        <v>IT0006703208</v>
      </c>
      <c r="J19" s="2" t="str">
        <v>AT02</v>
      </c>
    </row>
    <row r="20" spans="5:10" x14ac:dyDescent="0.2">
      <c r="E20" s="20">
        <v>14</v>
      </c>
      <c r="F20" s="5" t="str">
        <v>GB0570</v>
      </c>
      <c r="G20" s="2" t="str">
        <v>Barclays Bank plc</v>
      </c>
      <c r="H20" s="2" t="str">
        <v>IG4</v>
      </c>
      <c r="I20" s="2" t="str">
        <v>IT0006706318</v>
      </c>
      <c r="J20" s="2" t="str">
        <v>AT01</v>
      </c>
    </row>
    <row r="21" spans="5:10" x14ac:dyDescent="0.2">
      <c r="E21" s="20">
        <v>15</v>
      </c>
      <c r="F21" s="5" t="str">
        <v>GB0570</v>
      </c>
      <c r="G21" s="2" t="str">
        <v>Barclays Bank plc</v>
      </c>
      <c r="H21" s="2" t="str">
        <v>IG4</v>
      </c>
      <c r="I21" s="2" t="str">
        <v>IT0006706326</v>
      </c>
      <c r="J21" s="2" t="str">
        <v>AT01</v>
      </c>
    </row>
    <row r="22" spans="5:10" x14ac:dyDescent="0.2">
      <c r="E22" s="20">
        <v>16</v>
      </c>
      <c r="F22" s="5" t="str">
        <v>GB0570</v>
      </c>
      <c r="G22" s="2" t="str">
        <v>Barclays Bank plc</v>
      </c>
      <c r="H22" s="2" t="str">
        <v>IG4</v>
      </c>
      <c r="I22" s="2" t="str">
        <v>IT0006708413</v>
      </c>
      <c r="J22" s="2" t="str">
        <v>AT01</v>
      </c>
    </row>
    <row r="23" spans="5:10" x14ac:dyDescent="0.2">
      <c r="E23" s="20">
        <v>17</v>
      </c>
      <c r="F23" s="5" t="str">
        <v>GB0570</v>
      </c>
      <c r="G23" s="2" t="str">
        <v>Barclays Bank PLC</v>
      </c>
      <c r="H23" s="2" t="str">
        <v>IG4</v>
      </c>
      <c r="I23" s="2" t="str">
        <v>XS1075218799</v>
      </c>
      <c r="J23" s="2" t="str">
        <v>AT02</v>
      </c>
    </row>
    <row r="24" spans="5:10" x14ac:dyDescent="0.2">
      <c r="E24" s="20">
        <v>18</v>
      </c>
      <c r="F24" s="5" t="str">
        <v>GB0570</v>
      </c>
      <c r="G24" s="2" t="str">
        <v>Barclays Bank PLC</v>
      </c>
      <c r="H24" s="2" t="str">
        <v>IG4</v>
      </c>
      <c r="I24" s="2" t="str">
        <v>XS1068797536</v>
      </c>
      <c r="J24" s="2" t="str">
        <v>AT02</v>
      </c>
    </row>
    <row r="25" spans="5:10" x14ac:dyDescent="0.2">
      <c r="E25" s="20">
        <v>19</v>
      </c>
      <c r="F25" s="5" t="str">
        <v>GB0570</v>
      </c>
      <c r="G25" s="2" t="str">
        <v>Barclays Bank PLC</v>
      </c>
      <c r="H25" s="2" t="str">
        <v>IG4</v>
      </c>
      <c r="I25" s="2" t="str">
        <v>XS1620594249</v>
      </c>
      <c r="J25" s="2" t="str">
        <v>AT02</v>
      </c>
    </row>
    <row r="26" spans="5:10" x14ac:dyDescent="0.2">
      <c r="E26" s="20">
        <v>20</v>
      </c>
      <c r="F26" s="5" t="str">
        <v>GB0570</v>
      </c>
      <c r="G26" s="2" t="str">
        <v>Barclays Bank PLC</v>
      </c>
      <c r="H26" s="2" t="str">
        <v>IG4</v>
      </c>
      <c r="I26" s="2" t="str">
        <v>XS1647069746</v>
      </c>
      <c r="J26" s="2" t="str">
        <v>AT02</v>
      </c>
    </row>
    <row r="27" spans="5:10" x14ac:dyDescent="0.2">
      <c r="E27" s="20">
        <v>21</v>
      </c>
      <c r="F27" s="5" t="str">
        <v>GB0570</v>
      </c>
      <c r="G27" s="2" t="str">
        <v>Barclays Bank PLC</v>
      </c>
      <c r="H27" s="2" t="str">
        <v>IG4</v>
      </c>
      <c r="I27" s="2" t="str">
        <v>XS1658357436</v>
      </c>
      <c r="J27" s="2" t="str">
        <v>AT02</v>
      </c>
    </row>
    <row r="28" spans="5:10" x14ac:dyDescent="0.2">
      <c r="E28" s="20">
        <v>22</v>
      </c>
      <c r="F28" s="5" t="str">
        <v>GB0570</v>
      </c>
      <c r="G28" s="2" t="str">
        <v>Barclays Bank PLC</v>
      </c>
      <c r="H28" s="2" t="str">
        <v>IG4</v>
      </c>
      <c r="I28" s="2" t="str">
        <v>XS0856139018</v>
      </c>
      <c r="J28" s="2" t="str">
        <v>AT02</v>
      </c>
    </row>
    <row r="29" spans="5:10" x14ac:dyDescent="0.2">
      <c r="E29" s="20">
        <v>23</v>
      </c>
      <c r="F29" s="5" t="str">
        <v>GB0570</v>
      </c>
      <c r="G29" s="2" t="str">
        <v>Barclays Bank PLC</v>
      </c>
      <c r="H29" s="2" t="str">
        <v>IG4</v>
      </c>
      <c r="I29" s="2" t="str">
        <v>XS1056897058</v>
      </c>
      <c r="J29" s="2" t="str">
        <v>AT02</v>
      </c>
    </row>
    <row r="30" spans="5:10" x14ac:dyDescent="0.2">
      <c r="E30" s="20">
        <v>24</v>
      </c>
      <c r="F30" s="5" t="str">
        <v>GB0570</v>
      </c>
      <c r="G30" s="2" t="str">
        <v>Barclays Bank PLC</v>
      </c>
      <c r="H30" s="2" t="str">
        <v>IG4</v>
      </c>
      <c r="I30" s="2" t="str">
        <v>XS1199672012</v>
      </c>
      <c r="J30" s="2" t="str">
        <v>AT02</v>
      </c>
    </row>
    <row r="31" spans="5:10" x14ac:dyDescent="0.2">
      <c r="E31" s="20">
        <v>25</v>
      </c>
      <c r="F31" s="5" t="str">
        <v>GB0570</v>
      </c>
      <c r="G31" s="2" t="str">
        <v>Barclays Bank PLC</v>
      </c>
      <c r="H31" s="2" t="str">
        <v>IG4</v>
      </c>
      <c r="I31" s="2" t="str">
        <v>XS1037706451</v>
      </c>
      <c r="J31" s="2" t="str">
        <v>AT02</v>
      </c>
    </row>
    <row r="32" spans="5:10" x14ac:dyDescent="0.2">
      <c r="E32" s="20">
        <v>26</v>
      </c>
      <c r="F32" s="5" t="str">
        <v>GB0570</v>
      </c>
      <c r="G32" s="2" t="str">
        <v>Barclays Bank PLC</v>
      </c>
      <c r="H32" s="2" t="str">
        <v>IG4</v>
      </c>
      <c r="I32" s="2" t="str">
        <v>XS1281093234</v>
      </c>
      <c r="J32" s="2" t="str">
        <v>AT02</v>
      </c>
    </row>
    <row r="33" spans="5:10" x14ac:dyDescent="0.2">
      <c r="E33" s="20">
        <v>27</v>
      </c>
      <c r="F33" s="5" t="str">
        <v>GB0570</v>
      </c>
      <c r="G33" s="2" t="str">
        <v>Barclays Bank plc</v>
      </c>
      <c r="H33" s="2" t="str">
        <v>IG4</v>
      </c>
      <c r="I33" s="2" t="str">
        <v>IT0006710880</v>
      </c>
      <c r="J33" s="2" t="str">
        <v>AT02</v>
      </c>
    </row>
    <row r="34" spans="5:10" x14ac:dyDescent="0.2">
      <c r="E34" s="20">
        <v>28</v>
      </c>
      <c r="F34" s="5" t="str">
        <v>GB0570</v>
      </c>
      <c r="G34" s="2" t="str">
        <v>Barclays Bank plc</v>
      </c>
      <c r="H34" s="2" t="str">
        <v>IG4</v>
      </c>
      <c r="I34" s="2" t="str">
        <v>IT0006712951</v>
      </c>
      <c r="J34" s="2" t="str">
        <v>AT02</v>
      </c>
    </row>
    <row r="35" spans="5:10" x14ac:dyDescent="0.2">
      <c r="E35" s="20">
        <v>29</v>
      </c>
      <c r="F35" s="5" t="str">
        <v>GB0570</v>
      </c>
      <c r="G35" s="2" t="str">
        <v>Barclays Bank plc</v>
      </c>
      <c r="H35" s="2" t="str">
        <v>IG4</v>
      </c>
      <c r="I35" s="2" t="str">
        <v>IT0006715400</v>
      </c>
      <c r="J35" s="2" t="str">
        <v>AT02</v>
      </c>
    </row>
    <row r="36" spans="5:10" x14ac:dyDescent="0.2">
      <c r="E36" s="20">
        <v>30</v>
      </c>
      <c r="F36" s="5" t="str">
        <v>GB0570</v>
      </c>
      <c r="G36" s="2" t="str">
        <v>Barclays Bank plc</v>
      </c>
      <c r="H36" s="2" t="str">
        <v>IG4</v>
      </c>
      <c r="I36" s="2" t="str">
        <v>IT0006715426</v>
      </c>
      <c r="J36" s="2" t="str">
        <v>AT02</v>
      </c>
    </row>
    <row r="37" spans="5:10" x14ac:dyDescent="0.2">
      <c r="E37" s="20">
        <v>31</v>
      </c>
      <c r="F37" s="5" t="str">
        <v>GB0570</v>
      </c>
      <c r="G37" s="2" t="str">
        <v>Barclays Bank plc</v>
      </c>
      <c r="H37" s="2" t="str">
        <v>IG4</v>
      </c>
      <c r="I37" s="2" t="str">
        <v>IT0006716440</v>
      </c>
      <c r="J37" s="2" t="str">
        <v>AT02</v>
      </c>
    </row>
    <row r="38" spans="5:10" x14ac:dyDescent="0.2">
      <c r="E38" s="20">
        <v>32</v>
      </c>
      <c r="F38" s="5" t="str">
        <v>GB0570</v>
      </c>
      <c r="G38" s="2" t="str">
        <v>Barclays Bank plc</v>
      </c>
      <c r="H38" s="2" t="str">
        <v>IG4</v>
      </c>
      <c r="I38" s="2" t="str">
        <v>IT0006716556</v>
      </c>
      <c r="J38" s="2" t="str">
        <v>AT02</v>
      </c>
    </row>
    <row r="39" spans="5:10" x14ac:dyDescent="0.2">
      <c r="E39" s="20">
        <v>33</v>
      </c>
      <c r="F39" s="5" t="str">
        <v>GB0570</v>
      </c>
      <c r="G39" s="2" t="str">
        <v>Barclays Bank PLC</v>
      </c>
      <c r="H39" s="2" t="str">
        <v>IG4</v>
      </c>
      <c r="I39" s="2" t="str">
        <v>XS1915531872</v>
      </c>
      <c r="J39" s="2" t="str">
        <v>AT02</v>
      </c>
    </row>
    <row r="40" spans="5:10" x14ac:dyDescent="0.2">
      <c r="E40" s="20">
        <v>34</v>
      </c>
      <c r="F40" s="5" t="str">
        <v>GB0570</v>
      </c>
      <c r="G40" s="2" t="str">
        <v>Barclays Bank plc</v>
      </c>
      <c r="H40" s="2" t="str">
        <v>IG4</v>
      </c>
      <c r="I40" s="2" t="str">
        <v>FR0125511040</v>
      </c>
      <c r="J40" s="2" t="str">
        <v>AT03</v>
      </c>
    </row>
    <row r="41" spans="5:10" x14ac:dyDescent="0.2">
      <c r="E41" s="20">
        <v>35</v>
      </c>
      <c r="F41" s="5" t="str">
        <v>GB0570</v>
      </c>
      <c r="G41" s="2" t="str">
        <v>Barclays Bank PLC</v>
      </c>
      <c r="H41" s="2" t="str">
        <v>IG4</v>
      </c>
      <c r="I41" s="2" t="str">
        <v>XS1824450537</v>
      </c>
      <c r="J41" s="2" t="str">
        <v>AT02</v>
      </c>
    </row>
    <row r="42" spans="5:10" x14ac:dyDescent="0.2">
      <c r="E42" s="20">
        <v>36</v>
      </c>
      <c r="F42" s="5" t="str">
        <v>GB0570</v>
      </c>
      <c r="G42" s="2" t="str">
        <v>Barclays Bank PLC</v>
      </c>
      <c r="H42" s="2" t="str">
        <v>IG4</v>
      </c>
      <c r="I42" s="2" t="str">
        <v>XS1731574957</v>
      </c>
      <c r="J42" s="2" t="str">
        <v>AT02</v>
      </c>
    </row>
    <row r="43" spans="5:10" x14ac:dyDescent="0.2">
      <c r="E43" s="20">
        <v>37</v>
      </c>
      <c r="F43" s="5" t="str">
        <v>GB0570</v>
      </c>
      <c r="G43" s="2" t="str">
        <v>Barclays Bank plc</v>
      </c>
      <c r="H43" s="2" t="str">
        <v>IG4</v>
      </c>
      <c r="I43" s="2" t="str">
        <v>FR0125347999</v>
      </c>
      <c r="J43" s="2" t="str">
        <v>AT03</v>
      </c>
    </row>
    <row r="44" spans="5:10" x14ac:dyDescent="0.2">
      <c r="E44" s="20">
        <v>38</v>
      </c>
      <c r="F44" s="5" t="str">
        <v>GB0570</v>
      </c>
      <c r="G44" s="2" t="str">
        <v>Barclays Bank plc</v>
      </c>
      <c r="H44" s="2" t="str">
        <v>IG4</v>
      </c>
      <c r="I44" s="2" t="str">
        <v>FR0125512394</v>
      </c>
      <c r="J44" s="2" t="str">
        <v>AT03</v>
      </c>
    </row>
    <row r="45" spans="5:10" x14ac:dyDescent="0.2">
      <c r="E45" s="20">
        <v>39</v>
      </c>
      <c r="F45" s="5" t="str">
        <v>GB0570</v>
      </c>
      <c r="G45" s="2" t="str">
        <v>Barclays Bank PLC</v>
      </c>
      <c r="H45" s="2" t="str">
        <v>IG4</v>
      </c>
      <c r="I45" s="2" t="str">
        <v>XS1916217513</v>
      </c>
      <c r="J45" s="2" t="str">
        <v>AT03</v>
      </c>
    </row>
    <row r="46" spans="5:10" x14ac:dyDescent="0.2">
      <c r="E46" s="20">
        <v>40</v>
      </c>
      <c r="F46" s="5" t="str">
        <v>GB0570</v>
      </c>
      <c r="G46" s="2" t="str">
        <v>Barclays Bank PLC</v>
      </c>
      <c r="H46" s="2" t="str">
        <v>IG4</v>
      </c>
      <c r="I46" s="2" t="str">
        <v>XS1964560236</v>
      </c>
      <c r="J46" s="2" t="str">
        <v>AT03</v>
      </c>
    </row>
    <row r="47" spans="5:10" x14ac:dyDescent="0.2">
      <c r="E47" s="20">
        <v>41</v>
      </c>
      <c r="F47" s="5" t="str">
        <v>GB0570</v>
      </c>
      <c r="G47" s="2" t="str">
        <v>Barclays Bank PLC</v>
      </c>
      <c r="H47" s="2" t="str">
        <v>IG4</v>
      </c>
      <c r="I47" s="2" t="str">
        <v>XS1963239881</v>
      </c>
      <c r="J47" s="2" t="str">
        <v>AT03</v>
      </c>
    </row>
    <row r="48" spans="5:10" x14ac:dyDescent="0.2">
      <c r="E48" s="20">
        <v>42</v>
      </c>
      <c r="F48" s="5" t="str">
        <v>GB0570</v>
      </c>
      <c r="G48" s="2" t="str">
        <v>Barclays Bank PLC</v>
      </c>
      <c r="H48" s="2" t="str">
        <v>IG4</v>
      </c>
      <c r="I48" s="2" t="str">
        <v>XS1963240467</v>
      </c>
      <c r="J48" s="2" t="str">
        <v>AT03</v>
      </c>
    </row>
    <row r="49" spans="5:10" x14ac:dyDescent="0.2">
      <c r="E49" s="20">
        <v>43</v>
      </c>
      <c r="F49" s="5" t="str">
        <v>GB0570</v>
      </c>
      <c r="G49" s="2" t="str">
        <v>Barclays Bank PLC</v>
      </c>
      <c r="H49" s="2" t="str">
        <v>IG4</v>
      </c>
      <c r="I49" s="2" t="str">
        <v>XS1960673025</v>
      </c>
      <c r="J49" s="2" t="str">
        <v>AT02</v>
      </c>
    </row>
    <row r="50" spans="5:10" x14ac:dyDescent="0.2">
      <c r="E50" s="20">
        <v>44</v>
      </c>
      <c r="F50" s="5" t="str">
        <v>GB0570</v>
      </c>
      <c r="G50" s="2" t="str">
        <v>Barclays Bank PLC</v>
      </c>
      <c r="H50" s="2" t="str">
        <v>IG4</v>
      </c>
      <c r="I50" s="2" t="str">
        <v>XS1620532991</v>
      </c>
      <c r="J50" s="2" t="str">
        <v>AT02</v>
      </c>
    </row>
    <row r="51" spans="5:10" x14ac:dyDescent="0.2">
      <c r="E51" s="20">
        <v>45</v>
      </c>
      <c r="F51" s="5" t="str">
        <v>GB0570</v>
      </c>
      <c r="G51" s="2" t="str">
        <v>Barclays Bank PLC</v>
      </c>
      <c r="H51" s="2" t="str">
        <v>IG4</v>
      </c>
      <c r="I51" s="2" t="str">
        <v>XS1731565880</v>
      </c>
      <c r="J51" s="2" t="str">
        <v>AT02</v>
      </c>
    </row>
    <row r="52" spans="5:10" x14ac:dyDescent="0.2">
      <c r="E52" s="20">
        <v>46</v>
      </c>
      <c r="F52" s="5" t="str">
        <v>GB0570</v>
      </c>
      <c r="G52" s="2" t="str">
        <v>Barclays Bank PLC</v>
      </c>
      <c r="H52" s="2" t="str">
        <v>IG4</v>
      </c>
      <c r="I52" s="2" t="str">
        <v>XS1864857427</v>
      </c>
      <c r="J52" s="2" t="str">
        <v>AT02</v>
      </c>
    </row>
    <row r="53" spans="5:10" x14ac:dyDescent="0.2">
      <c r="E53" s="20">
        <v>47</v>
      </c>
      <c r="F53" s="5" t="str">
        <v>GB0570</v>
      </c>
      <c r="G53" s="2" t="str">
        <v>Barclays Bank PLC</v>
      </c>
      <c r="H53" s="2" t="str">
        <v>IG4</v>
      </c>
      <c r="I53" s="2" t="str">
        <v>XS1963240541</v>
      </c>
      <c r="J53" s="2" t="str">
        <v>AT03</v>
      </c>
    </row>
    <row r="54" spans="5:10" x14ac:dyDescent="0.2">
      <c r="E54" s="20">
        <v>48</v>
      </c>
      <c r="F54" s="5" t="str">
        <v>GB0570</v>
      </c>
      <c r="G54" s="2" t="str">
        <v>Barclays Bank PLC</v>
      </c>
      <c r="H54" s="2" t="str">
        <v>IG4</v>
      </c>
      <c r="I54" s="2" t="str">
        <v>XS1823345613</v>
      </c>
      <c r="J54" s="2" t="str">
        <v>AT02</v>
      </c>
    </row>
    <row r="55" spans="5:10" x14ac:dyDescent="0.2">
      <c r="E55" s="20">
        <v>49</v>
      </c>
      <c r="F55" s="5" t="str">
        <v>GB0570</v>
      </c>
      <c r="G55" s="2" t="str">
        <v>Barclays Bank plc</v>
      </c>
      <c r="H55" s="2" t="str">
        <v>IG4</v>
      </c>
      <c r="I55" s="2" t="str">
        <v>FR0125537318</v>
      </c>
      <c r="J55" s="2" t="str">
        <v>AT03</v>
      </c>
    </row>
    <row r="56" spans="5:10" x14ac:dyDescent="0.2">
      <c r="E56" s="20">
        <v>50</v>
      </c>
      <c r="F56" s="5" t="str">
        <v>GB0570</v>
      </c>
      <c r="G56" s="2" t="str">
        <v>Barclays Bank PLC</v>
      </c>
      <c r="H56" s="2" t="str">
        <v>IG4</v>
      </c>
      <c r="I56" s="2" t="str">
        <v>XS1879227392</v>
      </c>
      <c r="J56" s="2" t="str">
        <v>AT02</v>
      </c>
    </row>
    <row r="57" spans="5:10" x14ac:dyDescent="0.2">
      <c r="E57" s="20">
        <v>51</v>
      </c>
      <c r="F57" s="5" t="str">
        <v>GB0570</v>
      </c>
      <c r="G57" s="2" t="str">
        <v>Barclays Bank PLC</v>
      </c>
      <c r="H57" s="2" t="str">
        <v>IG4</v>
      </c>
      <c r="I57" s="2" t="str">
        <v>XS1879227632</v>
      </c>
      <c r="J57" s="2" t="str">
        <v>AT02</v>
      </c>
    </row>
    <row r="58" spans="5:10" x14ac:dyDescent="0.2">
      <c r="E58" s="20">
        <v>52</v>
      </c>
      <c r="F58" s="5" t="str">
        <v>GB0570</v>
      </c>
      <c r="G58" s="2" t="str">
        <v>Barclays Bank PLC</v>
      </c>
      <c r="H58" s="2" t="str">
        <v>IG4</v>
      </c>
      <c r="I58" s="2" t="str">
        <v>XS1879522396</v>
      </c>
      <c r="J58" s="2" t="str">
        <v>AT02</v>
      </c>
    </row>
    <row r="59" spans="5:10" x14ac:dyDescent="0.2">
      <c r="E59" s="20">
        <v>53</v>
      </c>
      <c r="F59" s="5" t="str">
        <v>GB0570</v>
      </c>
      <c r="G59" s="2" t="str">
        <v>Barclays Bank PLC</v>
      </c>
      <c r="H59" s="2" t="str">
        <v>IG4</v>
      </c>
      <c r="I59" s="2" t="str">
        <v>XS1879522479</v>
      </c>
      <c r="J59" s="2" t="str">
        <v>AT02</v>
      </c>
    </row>
    <row r="60" spans="5:10" x14ac:dyDescent="0.2">
      <c r="E60" s="20">
        <v>54</v>
      </c>
      <c r="F60" s="5" t="str">
        <v>GB0570</v>
      </c>
      <c r="G60" s="2" t="str">
        <v>Barclays Bank PLC</v>
      </c>
      <c r="H60" s="2" t="str">
        <v>IG4</v>
      </c>
      <c r="I60" s="2" t="str">
        <v>XS1842900141</v>
      </c>
      <c r="J60" s="2" t="str">
        <v>AT02</v>
      </c>
    </row>
    <row r="61" spans="5:10" x14ac:dyDescent="0.2">
      <c r="E61" s="20">
        <v>55</v>
      </c>
      <c r="F61" s="5" t="str">
        <v>GB0570</v>
      </c>
      <c r="G61" s="2" t="str">
        <v>Barclays Bank PLC</v>
      </c>
      <c r="H61" s="2" t="str">
        <v>IG4</v>
      </c>
      <c r="I61" s="2" t="str">
        <v>XS1845388575</v>
      </c>
      <c r="J61" s="2" t="str">
        <v>AT02</v>
      </c>
    </row>
    <row r="62" spans="5:10" x14ac:dyDescent="0.2">
      <c r="E62" s="20">
        <v>56</v>
      </c>
      <c r="F62" s="5" t="str">
        <v>GB0570</v>
      </c>
      <c r="G62" s="2" t="str">
        <v>Barclays Bank PLC</v>
      </c>
      <c r="H62" s="2" t="str">
        <v>IG4</v>
      </c>
      <c r="I62" s="2" t="str">
        <v>XS1813572077</v>
      </c>
      <c r="J62" s="2" t="str">
        <v>AT02</v>
      </c>
    </row>
    <row r="63" spans="5:10" x14ac:dyDescent="0.2">
      <c r="E63" s="20">
        <v>57</v>
      </c>
      <c r="F63" s="5" t="str">
        <v>GB0570</v>
      </c>
      <c r="G63" s="2" t="str">
        <v>Barclays Bank PLC</v>
      </c>
      <c r="H63" s="2" t="str">
        <v>IG4</v>
      </c>
      <c r="I63" s="2" t="str">
        <v>XS1918769545</v>
      </c>
      <c r="J63" s="2" t="str">
        <v>AT03</v>
      </c>
    </row>
    <row r="64" spans="5:10" x14ac:dyDescent="0.2">
      <c r="E64" s="20">
        <v>58</v>
      </c>
      <c r="F64" s="5" t="str">
        <v>GB0570</v>
      </c>
      <c r="G64" s="2" t="str">
        <v>Barclays Bank PLC</v>
      </c>
      <c r="H64" s="2" t="str">
        <v>IG4</v>
      </c>
      <c r="I64" s="2" t="str">
        <v>XS1944306049</v>
      </c>
      <c r="J64" s="2" t="str">
        <v>AT02</v>
      </c>
    </row>
    <row r="65" spans="5:10" x14ac:dyDescent="0.2">
      <c r="E65" s="20">
        <v>59</v>
      </c>
      <c r="F65" s="5" t="str">
        <v>GB0570</v>
      </c>
      <c r="G65" s="2" t="str">
        <v>Barclays Bank PLC</v>
      </c>
      <c r="H65" s="2" t="str">
        <v>IG4</v>
      </c>
      <c r="I65" s="2" t="str">
        <v>XS1902017752</v>
      </c>
      <c r="J65" s="2" t="str">
        <v>AT02</v>
      </c>
    </row>
    <row r="66" spans="5:10" x14ac:dyDescent="0.2">
      <c r="E66" s="20">
        <v>60</v>
      </c>
      <c r="F66" s="5" t="str">
        <v>GB0570</v>
      </c>
      <c r="G66" s="2" t="str">
        <v>Barclays Bank PLC</v>
      </c>
      <c r="H66" s="2" t="str">
        <v>IG4</v>
      </c>
      <c r="I66" s="2" t="str">
        <v>XS1916198382</v>
      </c>
      <c r="J66" s="2" t="str">
        <v>AT02</v>
      </c>
    </row>
    <row r="67" spans="5:10" x14ac:dyDescent="0.2">
      <c r="E67" s="20">
        <v>61</v>
      </c>
      <c r="F67" s="5" t="str">
        <v>GB0570</v>
      </c>
      <c r="G67" s="2" t="str">
        <v>Barclays Bank PLC</v>
      </c>
      <c r="H67" s="2" t="str">
        <v>IG4</v>
      </c>
      <c r="I67" s="2" t="str">
        <v>XS1916198465</v>
      </c>
      <c r="J67" s="2" t="str">
        <v>AT02</v>
      </c>
    </row>
    <row r="68" spans="5:10" x14ac:dyDescent="0.2">
      <c r="E68" s="20">
        <v>62</v>
      </c>
      <c r="F68" s="5" t="str">
        <v>GB0570</v>
      </c>
      <c r="G68" s="2" t="str">
        <v>Barclays Bank PLC</v>
      </c>
      <c r="H68" s="2" t="str">
        <v>IG4</v>
      </c>
      <c r="I68" s="2" t="str">
        <v>XS1966265651</v>
      </c>
      <c r="J68" s="2" t="str">
        <v>AT02</v>
      </c>
    </row>
    <row r="69" spans="5:10" x14ac:dyDescent="0.2">
      <c r="E69" s="20">
        <v>63</v>
      </c>
      <c r="F69" s="5" t="str">
        <v>GB0570</v>
      </c>
      <c r="G69" s="2" t="str">
        <v>Barclays Bank PLC</v>
      </c>
      <c r="H69" s="2" t="str">
        <v>IG4</v>
      </c>
      <c r="I69" s="2" t="str">
        <v>XS1963226474</v>
      </c>
      <c r="J69" s="2" t="str">
        <v>AT03</v>
      </c>
    </row>
    <row r="70" spans="5:10" x14ac:dyDescent="0.2">
      <c r="E70" s="20">
        <v>64</v>
      </c>
      <c r="F70" s="5" t="str">
        <v>GB0570</v>
      </c>
      <c r="G70" s="2" t="str">
        <v>Barclays Bank PLC</v>
      </c>
      <c r="H70" s="2" t="str">
        <v>IG4</v>
      </c>
      <c r="I70" s="2" t="str">
        <v>XS1812888847</v>
      </c>
      <c r="J70" s="2" t="str">
        <v>AT02</v>
      </c>
    </row>
    <row r="71" spans="5:10" x14ac:dyDescent="0.2">
      <c r="E71" s="20">
        <v>65</v>
      </c>
      <c r="F71" s="5" t="str">
        <v>GB0570</v>
      </c>
      <c r="G71" s="2" t="str">
        <v>Barclays Bank PLC</v>
      </c>
      <c r="H71" s="2" t="str">
        <v>IG4</v>
      </c>
      <c r="I71" s="2" t="str">
        <v>DE000BC5LL55</v>
      </c>
      <c r="J71" s="2" t="str">
        <v>AT02</v>
      </c>
    </row>
    <row r="72" spans="5:10" x14ac:dyDescent="0.2">
      <c r="E72" s="20">
        <v>66</v>
      </c>
      <c r="F72" s="5" t="str">
        <v>GB0570</v>
      </c>
      <c r="G72" s="2" t="str">
        <v>Barclays Bank PLC</v>
      </c>
      <c r="H72" s="2" t="str">
        <v>IG4</v>
      </c>
      <c r="I72" s="2" t="str">
        <v>XS1620536042</v>
      </c>
      <c r="J72" s="2" t="str">
        <v>AT02</v>
      </c>
    </row>
    <row r="73" spans="5:10" x14ac:dyDescent="0.2">
      <c r="E73" s="20">
        <v>67</v>
      </c>
      <c r="F73" s="5" t="str">
        <v>GB0570</v>
      </c>
      <c r="G73" s="2" t="str">
        <v>Barclays Bank PLC</v>
      </c>
      <c r="H73" s="2" t="str">
        <v>IG4</v>
      </c>
      <c r="I73" s="2" t="str">
        <v>XS1731563083</v>
      </c>
      <c r="J73" s="2" t="str">
        <v>AT02</v>
      </c>
    </row>
    <row r="74" spans="5:10" x14ac:dyDescent="0.2">
      <c r="E74" s="20">
        <v>68</v>
      </c>
      <c r="F74" s="5" t="str">
        <v>GB0570</v>
      </c>
      <c r="G74" s="2" t="str">
        <v>Barclays Bank plc</v>
      </c>
      <c r="H74" s="2" t="str">
        <v>IG4</v>
      </c>
      <c r="I74" s="2" t="str">
        <v>FR0125353740</v>
      </c>
      <c r="J74" s="2" t="str">
        <v>AT03</v>
      </c>
    </row>
    <row r="75" spans="5:10" x14ac:dyDescent="0.2">
      <c r="E75" s="20">
        <v>69</v>
      </c>
      <c r="F75" s="5" t="str">
        <v>GB0570</v>
      </c>
      <c r="G75" s="2" t="str">
        <v>Barclays Bank plc</v>
      </c>
      <c r="H75" s="2" t="str">
        <v>IG4</v>
      </c>
      <c r="I75" s="2" t="str">
        <v>FR0125440448</v>
      </c>
      <c r="J75" s="2" t="str">
        <v>AT03</v>
      </c>
    </row>
    <row r="76" spans="5:10" x14ac:dyDescent="0.2">
      <c r="E76" s="20">
        <v>70</v>
      </c>
      <c r="F76" s="5" t="str">
        <v>GB0570</v>
      </c>
      <c r="G76" s="2" t="str">
        <v>Barclays Bank plc</v>
      </c>
      <c r="H76" s="2" t="str">
        <v>IG4</v>
      </c>
      <c r="I76" s="2" t="str">
        <v>FR0125311607</v>
      </c>
      <c r="J76" s="2" t="str">
        <v>AT03</v>
      </c>
    </row>
    <row r="77" spans="5:10" x14ac:dyDescent="0.2">
      <c r="E77" s="20">
        <v>71</v>
      </c>
      <c r="F77" s="5" t="str">
        <v>GB0570</v>
      </c>
      <c r="G77" s="2" t="str">
        <v>Barclays Bank plc</v>
      </c>
      <c r="H77" s="2" t="str">
        <v>IG4</v>
      </c>
      <c r="I77" s="2" t="str">
        <v>FR0125501934</v>
      </c>
      <c r="J77" s="2" t="str">
        <v>AT03</v>
      </c>
    </row>
    <row r="78" spans="5:10" x14ac:dyDescent="0.2">
      <c r="E78" s="20">
        <v>72</v>
      </c>
      <c r="F78" s="5" t="str">
        <v>GB0570</v>
      </c>
      <c r="G78" s="2" t="str">
        <v>Barclays Bank plc</v>
      </c>
      <c r="H78" s="2" t="str">
        <v>IG4</v>
      </c>
      <c r="I78" s="2" t="str">
        <v>FR0125376618</v>
      </c>
      <c r="J78" s="2" t="str">
        <v>AT03</v>
      </c>
    </row>
    <row r="79" spans="5:10" x14ac:dyDescent="0.2">
      <c r="E79" s="20">
        <v>73</v>
      </c>
      <c r="F79" s="5" t="str">
        <v>GB0570</v>
      </c>
      <c r="G79" s="2" t="str">
        <v>Barclays Bank plc</v>
      </c>
      <c r="H79" s="2" t="str">
        <v>IG4</v>
      </c>
      <c r="I79" s="2" t="str">
        <v>FR0125500969</v>
      </c>
      <c r="J79" s="2" t="str">
        <v>AT03</v>
      </c>
    </row>
    <row r="80" spans="5:10" x14ac:dyDescent="0.2">
      <c r="E80" s="20">
        <v>74</v>
      </c>
      <c r="F80" s="5" t="str">
        <v>GB0570</v>
      </c>
      <c r="G80" s="2" t="str">
        <v>Barclays Bank plc</v>
      </c>
      <c r="H80" s="2" t="str">
        <v>IG4</v>
      </c>
      <c r="I80" s="2" t="str">
        <v>FR0125354680</v>
      </c>
      <c r="J80" s="2" t="str">
        <v>AT03</v>
      </c>
    </row>
    <row r="81" spans="5:10" x14ac:dyDescent="0.2">
      <c r="E81" s="20">
        <v>75</v>
      </c>
      <c r="F81" s="5" t="str">
        <v>GB0570</v>
      </c>
      <c r="G81" s="2" t="str">
        <v>Barclays Bank plc</v>
      </c>
      <c r="H81" s="2" t="str">
        <v>IG4</v>
      </c>
      <c r="I81" s="2" t="str">
        <v>FR0125287476</v>
      </c>
      <c r="J81" s="2" t="str">
        <v>AT03</v>
      </c>
    </row>
    <row r="82" spans="5:10" x14ac:dyDescent="0.2">
      <c r="E82" s="20">
        <v>76</v>
      </c>
      <c r="F82" s="5" t="str">
        <v>GB0570</v>
      </c>
      <c r="G82" s="2" t="str">
        <v>Barclays Bank plc</v>
      </c>
      <c r="H82" s="2" t="str">
        <v>IG4</v>
      </c>
      <c r="I82" s="2" t="str">
        <v>FR0125484461</v>
      </c>
      <c r="J82" s="2" t="str">
        <v>AT03</v>
      </c>
    </row>
    <row r="83" spans="5:10" x14ac:dyDescent="0.2">
      <c r="E83" s="20">
        <v>77</v>
      </c>
      <c r="F83" s="5" t="str">
        <v>GB0570</v>
      </c>
      <c r="G83" s="2" t="str">
        <v>Barclays Bank plc</v>
      </c>
      <c r="H83" s="2" t="str">
        <v>IG4</v>
      </c>
      <c r="I83" s="2" t="str">
        <v>FR0125509630</v>
      </c>
      <c r="J83" s="2" t="str">
        <v>AT03</v>
      </c>
    </row>
    <row r="84" spans="5:10" x14ac:dyDescent="0.2">
      <c r="E84" s="20">
        <v>78</v>
      </c>
      <c r="F84" s="5" t="str">
        <v>GB0570</v>
      </c>
      <c r="G84" s="2" t="str">
        <v>Barclays Bank plc</v>
      </c>
      <c r="H84" s="2" t="str">
        <v>IG4</v>
      </c>
      <c r="I84" s="2" t="str">
        <v>FR0125509648</v>
      </c>
      <c r="J84" s="2" t="str">
        <v>AT03</v>
      </c>
    </row>
    <row r="85" spans="5:10" x14ac:dyDescent="0.2">
      <c r="E85" s="20">
        <v>79</v>
      </c>
      <c r="F85" s="5" t="str">
        <v>GB0570</v>
      </c>
      <c r="G85" s="2" t="str">
        <v>Barclays Bank plc</v>
      </c>
      <c r="H85" s="2" t="str">
        <v>IG4</v>
      </c>
      <c r="I85" s="2" t="str">
        <v>FR0125509655</v>
      </c>
      <c r="J85" s="2" t="str">
        <v>AT03</v>
      </c>
    </row>
    <row r="86" spans="5:10" x14ac:dyDescent="0.2">
      <c r="E86" s="20">
        <v>80</v>
      </c>
      <c r="F86" s="5" t="str">
        <v>GB0570</v>
      </c>
      <c r="G86" s="2" t="str">
        <v>Barclays Bank plc</v>
      </c>
      <c r="H86" s="2" t="str">
        <v>IG4</v>
      </c>
      <c r="I86" s="2" t="str">
        <v>FR0125346868</v>
      </c>
      <c r="J86" s="2" t="str">
        <v>AT03</v>
      </c>
    </row>
    <row r="87" spans="5:10" x14ac:dyDescent="0.2">
      <c r="E87" s="20">
        <v>81</v>
      </c>
      <c r="F87" s="5" t="str">
        <v>GB0570</v>
      </c>
      <c r="G87" s="2" t="str">
        <v>Barclays Bank plc</v>
      </c>
      <c r="H87" s="2" t="str">
        <v>IG4</v>
      </c>
      <c r="I87" s="2" t="str">
        <v>FR0125286338</v>
      </c>
      <c r="J87" s="2" t="str">
        <v>AT03</v>
      </c>
    </row>
    <row r="88" spans="5:10" x14ac:dyDescent="0.2">
      <c r="E88" s="20">
        <v>82</v>
      </c>
      <c r="F88" s="5" t="str">
        <v>GB0570</v>
      </c>
      <c r="G88" s="2" t="str">
        <v>Barclays Bank plc</v>
      </c>
      <c r="H88" s="2" t="str">
        <v>IG4</v>
      </c>
      <c r="I88" s="2" t="str">
        <v>FR0125404592</v>
      </c>
      <c r="J88" s="2" t="str">
        <v>AT03</v>
      </c>
    </row>
    <row r="89" spans="5:10" x14ac:dyDescent="0.2">
      <c r="E89" s="20">
        <v>83</v>
      </c>
      <c r="F89" s="5" t="str">
        <v>GB0570</v>
      </c>
      <c r="G89" s="2" t="str">
        <v>Barclays Bank plc</v>
      </c>
      <c r="H89" s="2" t="str">
        <v>IG4</v>
      </c>
      <c r="I89" s="2" t="str">
        <v>FR0125286551</v>
      </c>
      <c r="J89" s="2" t="str">
        <v>AT03</v>
      </c>
    </row>
    <row r="90" spans="5:10" x14ac:dyDescent="0.2">
      <c r="E90" s="20">
        <v>84</v>
      </c>
      <c r="F90" s="5" t="str">
        <v>GB0570</v>
      </c>
      <c r="G90" s="2" t="str">
        <v>Barclays Bank plc</v>
      </c>
      <c r="H90" s="2" t="str">
        <v>IG4</v>
      </c>
      <c r="I90" s="2" t="str">
        <v>FR0125348450</v>
      </c>
      <c r="J90" s="2" t="str">
        <v>AT03</v>
      </c>
    </row>
    <row r="91" spans="5:10" x14ac:dyDescent="0.2">
      <c r="E91" s="20">
        <v>85</v>
      </c>
      <c r="F91" s="5" t="str">
        <v>GB0570</v>
      </c>
      <c r="G91" s="2" t="str">
        <v>Barclays Bank plc</v>
      </c>
      <c r="H91" s="2" t="str">
        <v>IG4</v>
      </c>
      <c r="I91" s="2" t="str">
        <v>FR0125348476</v>
      </c>
      <c r="J91" s="2" t="str">
        <v>AT03</v>
      </c>
    </row>
    <row r="92" spans="5:10" x14ac:dyDescent="0.2">
      <c r="E92" s="20">
        <v>86</v>
      </c>
      <c r="F92" s="5" t="str">
        <v>GB0570</v>
      </c>
      <c r="G92" s="2" t="str">
        <v>Barclays Bank plc</v>
      </c>
      <c r="H92" s="2" t="str">
        <v>IG4</v>
      </c>
      <c r="I92" s="2" t="str">
        <v>FR0125500514</v>
      </c>
      <c r="J92" s="2" t="str">
        <v>AT03</v>
      </c>
    </row>
    <row r="93" spans="5:10" x14ac:dyDescent="0.2">
      <c r="E93" s="20">
        <v>87</v>
      </c>
      <c r="F93" s="5" t="str">
        <v>GB0570</v>
      </c>
      <c r="G93" s="2" t="str">
        <v>Barclays Bank plc</v>
      </c>
      <c r="H93" s="2" t="str">
        <v>IG4</v>
      </c>
      <c r="I93" s="2" t="str">
        <v>FR0125484180</v>
      </c>
      <c r="J93" s="2" t="str">
        <v>AT03</v>
      </c>
    </row>
    <row r="94" spans="5:10" x14ac:dyDescent="0.2">
      <c r="E94" s="20">
        <v>88</v>
      </c>
      <c r="F94" s="5" t="str">
        <v>GB0570</v>
      </c>
      <c r="G94" s="2" t="str">
        <v>Barclays Bank plc</v>
      </c>
      <c r="H94" s="2" t="str">
        <v>IG4</v>
      </c>
      <c r="I94" s="2" t="str">
        <v>FR0125484172</v>
      </c>
      <c r="J94" s="2" t="str">
        <v>AT03</v>
      </c>
    </row>
    <row r="95" spans="5:10" x14ac:dyDescent="0.2">
      <c r="E95" s="20">
        <v>89</v>
      </c>
      <c r="F95" s="5" t="str">
        <v>GB0570</v>
      </c>
      <c r="G95" s="2" t="str">
        <v>Barclays Bank plc</v>
      </c>
      <c r="H95" s="2" t="str">
        <v>IG4</v>
      </c>
      <c r="I95" s="2" t="str">
        <v>FR0125327645</v>
      </c>
      <c r="J95" s="2" t="str">
        <v>AT03</v>
      </c>
    </row>
    <row r="96" spans="5:10" x14ac:dyDescent="0.2">
      <c r="E96" s="20">
        <v>90</v>
      </c>
      <c r="F96" s="5" t="str">
        <v>GB0570</v>
      </c>
      <c r="G96" s="2" t="str">
        <v>Barclays Bank plc</v>
      </c>
      <c r="H96" s="2" t="str">
        <v>IG4</v>
      </c>
      <c r="I96" s="2" t="str">
        <v>FR0125298911</v>
      </c>
      <c r="J96" s="2" t="str">
        <v>AT03</v>
      </c>
    </row>
    <row r="97" spans="5:10" x14ac:dyDescent="0.2">
      <c r="E97" s="20">
        <v>91</v>
      </c>
      <c r="F97" s="5" t="str">
        <v>GB0570</v>
      </c>
      <c r="G97" s="2" t="str">
        <v>Barclays Bank plc</v>
      </c>
      <c r="H97" s="2" t="str">
        <v>IG4</v>
      </c>
      <c r="I97" s="2" t="str">
        <v>FR0125440265</v>
      </c>
      <c r="J97" s="2" t="str">
        <v>AT03</v>
      </c>
    </row>
    <row r="98" spans="5:10" x14ac:dyDescent="0.2">
      <c r="E98" s="20">
        <v>92</v>
      </c>
      <c r="F98" s="5" t="str">
        <v>GB0570</v>
      </c>
      <c r="G98" s="2" t="str">
        <v>Barclays Bank plc</v>
      </c>
      <c r="H98" s="2" t="str">
        <v>IG4</v>
      </c>
      <c r="I98" s="2" t="str">
        <v>FR0125399933</v>
      </c>
      <c r="J98" s="2" t="str">
        <v>AT03</v>
      </c>
    </row>
    <row r="99" spans="5:10" x14ac:dyDescent="0.2">
      <c r="E99" s="20">
        <v>93</v>
      </c>
      <c r="F99" s="5" t="str">
        <v>GB0570</v>
      </c>
      <c r="G99" s="2" t="str">
        <v>Barclays Bank plc</v>
      </c>
      <c r="H99" s="2" t="str">
        <v>IG4</v>
      </c>
      <c r="I99" s="2" t="str">
        <v>FR0125354169</v>
      </c>
      <c r="J99" s="2" t="str">
        <v>AT03</v>
      </c>
    </row>
    <row r="100" spans="5:10" x14ac:dyDescent="0.2">
      <c r="E100" s="20">
        <v>94</v>
      </c>
      <c r="F100" s="5" t="str">
        <v>GB0570</v>
      </c>
      <c r="G100" s="2" t="str">
        <v>Barclays Bank plc</v>
      </c>
      <c r="H100" s="2" t="str">
        <v>IG4</v>
      </c>
      <c r="I100" s="2" t="str">
        <v>FR0125328486</v>
      </c>
      <c r="J100" s="2" t="str">
        <v>AT03</v>
      </c>
    </row>
    <row r="101" spans="5:10" x14ac:dyDescent="0.2">
      <c r="E101" s="20">
        <v>95</v>
      </c>
      <c r="F101" s="5" t="str">
        <v>GB0570</v>
      </c>
      <c r="G101" s="2" t="str">
        <v>Barclays Bank plc</v>
      </c>
      <c r="H101" s="2" t="str">
        <v>IG4</v>
      </c>
      <c r="I101" s="2" t="str">
        <v>FR0125484032</v>
      </c>
      <c r="J101" s="2" t="str">
        <v>AT03</v>
      </c>
    </row>
    <row r="102" spans="5:10" x14ac:dyDescent="0.2">
      <c r="E102" s="20">
        <v>96</v>
      </c>
      <c r="F102" s="5" t="str">
        <v>GB0570</v>
      </c>
      <c r="G102" s="2" t="str">
        <v>Barclays Bank plc</v>
      </c>
      <c r="H102" s="2" t="str">
        <v>IG4</v>
      </c>
      <c r="I102" s="2" t="str">
        <v>FR0125404717</v>
      </c>
      <c r="J102" s="2" t="str">
        <v>AT03</v>
      </c>
    </row>
    <row r="103" spans="5:10" x14ac:dyDescent="0.2">
      <c r="E103" s="20">
        <v>97</v>
      </c>
      <c r="F103" s="5" t="str">
        <v>GB0570</v>
      </c>
      <c r="G103" s="2" t="str">
        <v>Barclays Bank plc</v>
      </c>
      <c r="H103" s="2" t="str">
        <v>IG4</v>
      </c>
      <c r="I103" s="2" t="str">
        <v>FR0125346157</v>
      </c>
      <c r="J103" s="2" t="str">
        <v>AT03</v>
      </c>
    </row>
    <row r="104" spans="5:10" x14ac:dyDescent="0.2">
      <c r="E104" s="20">
        <v>98</v>
      </c>
      <c r="F104" s="5" t="str">
        <v>GB0570</v>
      </c>
      <c r="G104" s="2" t="str">
        <v>Barclays Bank plc</v>
      </c>
      <c r="H104" s="2" t="str">
        <v>IG4</v>
      </c>
      <c r="I104" s="2" t="str">
        <v>FR0125482051</v>
      </c>
      <c r="J104" s="2" t="str">
        <v>AT03</v>
      </c>
    </row>
    <row r="105" spans="5:10" x14ac:dyDescent="0.2">
      <c r="E105" s="20">
        <v>99</v>
      </c>
      <c r="F105" s="5" t="str">
        <v>GB0570</v>
      </c>
      <c r="G105" s="2" t="str">
        <v>Barclays Bank plc</v>
      </c>
      <c r="H105" s="2" t="str">
        <v>IG4</v>
      </c>
      <c r="I105" s="2" t="str">
        <v>FR0125345613</v>
      </c>
      <c r="J105" s="2" t="str">
        <v>AT03</v>
      </c>
    </row>
    <row r="106" spans="5:10" x14ac:dyDescent="0.2">
      <c r="E106" s="20">
        <v>100</v>
      </c>
      <c r="F106" s="5" t="str">
        <v>GB0570</v>
      </c>
      <c r="G106" s="2" t="str">
        <v>Barclays Bank plc</v>
      </c>
      <c r="H106" s="2" t="str">
        <v>IG4</v>
      </c>
      <c r="I106" s="2" t="str">
        <v>FR0125345605</v>
      </c>
      <c r="J106" s="2" t="str">
        <v>AT03</v>
      </c>
    </row>
    <row r="107" spans="5:10" x14ac:dyDescent="0.2">
      <c r="E107" s="20">
        <v>101</v>
      </c>
      <c r="F107" s="5" t="str">
        <v>GB0570</v>
      </c>
      <c r="G107" s="2" t="str">
        <v>Barclays Bank plc</v>
      </c>
      <c r="H107" s="2" t="str">
        <v>IG4</v>
      </c>
      <c r="I107" s="2" t="str">
        <v>FR0125397697</v>
      </c>
      <c r="J107" s="2" t="str">
        <v>AT03</v>
      </c>
    </row>
    <row r="108" spans="5:10" x14ac:dyDescent="0.2">
      <c r="E108" s="20">
        <v>102</v>
      </c>
      <c r="F108" s="5" t="str">
        <v>GB0570</v>
      </c>
      <c r="G108" s="2" t="str">
        <v>Barclays Bank plc</v>
      </c>
      <c r="H108" s="2" t="str">
        <v>IG4</v>
      </c>
      <c r="I108" s="2" t="str">
        <v>FR0125468027</v>
      </c>
      <c r="J108" s="2" t="str">
        <v>AT03</v>
      </c>
    </row>
    <row r="109" spans="5:10" x14ac:dyDescent="0.2">
      <c r="E109" s="20">
        <v>103</v>
      </c>
      <c r="F109" s="5" t="str">
        <v>GB0570</v>
      </c>
      <c r="G109" s="2" t="str">
        <v>Barclays Bank PLC</v>
      </c>
      <c r="H109" s="2" t="str">
        <v>IG4</v>
      </c>
      <c r="I109" s="2" t="str">
        <v>XS1958650357</v>
      </c>
      <c r="J109" s="2" t="str">
        <v>AT02</v>
      </c>
    </row>
    <row r="110" spans="5:10" x14ac:dyDescent="0.2">
      <c r="E110" s="20">
        <v>104</v>
      </c>
      <c r="F110" s="5" t="str">
        <v>GB0570</v>
      </c>
      <c r="G110" s="2" t="str">
        <v>Barclays Bank plc</v>
      </c>
      <c r="H110" s="2" t="str">
        <v>IG4</v>
      </c>
      <c r="I110" s="2" t="str">
        <v>FR0125507782</v>
      </c>
      <c r="J110" s="2" t="str">
        <v>AT03</v>
      </c>
    </row>
    <row r="111" spans="5:10" x14ac:dyDescent="0.2">
      <c r="E111" s="20">
        <v>105</v>
      </c>
      <c r="F111" s="5" t="str">
        <v>GB0570</v>
      </c>
      <c r="G111" s="2" t="str">
        <v>Barclays Bank PLC</v>
      </c>
      <c r="H111" s="2" t="str">
        <v>IG4</v>
      </c>
      <c r="I111" s="2" t="str">
        <v>XS1904743645</v>
      </c>
      <c r="J111" s="2" t="str">
        <v>AT02</v>
      </c>
    </row>
    <row r="112" spans="5:10" x14ac:dyDescent="0.2">
      <c r="E112" s="20">
        <v>106</v>
      </c>
      <c r="F112" s="5" t="str">
        <v>GB0570</v>
      </c>
      <c r="G112" s="2" t="str">
        <v>Barclays Bank plc</v>
      </c>
      <c r="H112" s="2" t="str">
        <v>IG4</v>
      </c>
      <c r="I112" s="2" t="str">
        <v>FR0125354417</v>
      </c>
      <c r="J112" s="2" t="str">
        <v>AT03</v>
      </c>
    </row>
    <row r="113" spans="5:10" x14ac:dyDescent="0.2">
      <c r="E113" s="20">
        <v>107</v>
      </c>
      <c r="F113" s="5" t="str">
        <v>GB0570</v>
      </c>
      <c r="G113" s="2" t="str">
        <v>Barclays Bank plc</v>
      </c>
      <c r="H113" s="2" t="str">
        <v>IG4</v>
      </c>
      <c r="I113" s="2" t="str">
        <v>FR0125287047</v>
      </c>
      <c r="J113" s="2" t="str">
        <v>AT03</v>
      </c>
    </row>
    <row r="114" spans="5:10" x14ac:dyDescent="0.2">
      <c r="E114" s="20">
        <v>108</v>
      </c>
      <c r="F114" s="5" t="str">
        <v>GB0570</v>
      </c>
      <c r="G114" s="2" t="str">
        <v>Barclays Bank plc</v>
      </c>
      <c r="H114" s="2" t="str">
        <v>IG4</v>
      </c>
      <c r="I114" s="2" t="str">
        <v>FR0125346553</v>
      </c>
      <c r="J114" s="2" t="str">
        <v>AT03</v>
      </c>
    </row>
    <row r="115" spans="5:10" x14ac:dyDescent="0.2">
      <c r="E115" s="20">
        <v>109</v>
      </c>
      <c r="F115" s="5" t="str">
        <v>GB0570</v>
      </c>
      <c r="G115" s="2" t="str">
        <v>Barclays Bank plc</v>
      </c>
      <c r="H115" s="2" t="str">
        <v>IG4</v>
      </c>
      <c r="I115" s="2" t="str">
        <v>FR0125354532</v>
      </c>
      <c r="J115" s="2" t="str">
        <v>AT03</v>
      </c>
    </row>
    <row r="116" spans="5:10" x14ac:dyDescent="0.2">
      <c r="E116" s="20">
        <v>110</v>
      </c>
      <c r="F116" s="5" t="str">
        <v>GB0570</v>
      </c>
      <c r="G116" s="2" t="str">
        <v>Barclays Bank plc</v>
      </c>
      <c r="H116" s="2" t="str">
        <v>IG4</v>
      </c>
      <c r="I116" s="2" t="str">
        <v>FR0125419038</v>
      </c>
      <c r="J116" s="2" t="str">
        <v>AT03</v>
      </c>
    </row>
    <row r="117" spans="5:10" x14ac:dyDescent="0.2">
      <c r="E117" s="20">
        <v>111</v>
      </c>
      <c r="F117" s="5" t="str">
        <v>GB0570</v>
      </c>
      <c r="G117" s="2" t="str">
        <v>Barclays Bank plc</v>
      </c>
      <c r="H117" s="2" t="str">
        <v>IG4</v>
      </c>
      <c r="I117" s="2" t="str">
        <v>FR0125507444</v>
      </c>
      <c r="J117" s="2" t="str">
        <v>AT03</v>
      </c>
    </row>
    <row r="118" spans="5:10" x14ac:dyDescent="0.2">
      <c r="E118" s="20">
        <v>112</v>
      </c>
      <c r="F118" s="5" t="str">
        <v>GB0570</v>
      </c>
      <c r="G118" s="2" t="str">
        <v>Barclays Bank PLC</v>
      </c>
      <c r="H118" s="2" t="str">
        <v>IG4</v>
      </c>
      <c r="I118" s="2" t="str">
        <v>XS1801905891</v>
      </c>
      <c r="J118" s="2" t="str">
        <v>AT02</v>
      </c>
    </row>
    <row r="119" spans="5:10" x14ac:dyDescent="0.2">
      <c r="E119" s="20">
        <v>113</v>
      </c>
      <c r="F119" s="5" t="str">
        <v>GB0570</v>
      </c>
      <c r="G119" s="2" t="str">
        <v>Barclays Bank plc</v>
      </c>
      <c r="H119" s="2" t="str">
        <v>IG4</v>
      </c>
      <c r="I119" s="2" t="str">
        <v>FR0125507659</v>
      </c>
      <c r="J119" s="2" t="str">
        <v>AT03</v>
      </c>
    </row>
    <row r="120" spans="5:10" x14ac:dyDescent="0.2">
      <c r="E120" s="20">
        <v>114</v>
      </c>
      <c r="F120" s="5" t="str">
        <v>GB0570</v>
      </c>
      <c r="G120" s="2" t="str">
        <v>Barclays Bank plc</v>
      </c>
      <c r="H120" s="2" t="str">
        <v>IG4</v>
      </c>
      <c r="I120" s="2" t="str">
        <v>FR0125481533</v>
      </c>
      <c r="J120" s="2" t="str">
        <v>AT03</v>
      </c>
    </row>
    <row r="121" spans="5:10" x14ac:dyDescent="0.2">
      <c r="E121" s="20">
        <v>115</v>
      </c>
      <c r="F121" s="5" t="str">
        <v>GB0570</v>
      </c>
      <c r="G121" s="2" t="str">
        <v>Barclays Bank plc</v>
      </c>
      <c r="H121" s="2" t="str">
        <v>IG4</v>
      </c>
      <c r="I121" s="2" t="str">
        <v>FR0125507642</v>
      </c>
      <c r="J121" s="2" t="str">
        <v>AT03</v>
      </c>
    </row>
    <row r="122" spans="5:10" x14ac:dyDescent="0.2">
      <c r="E122" s="20">
        <v>116</v>
      </c>
      <c r="F122" s="5" t="str">
        <v>GB0570</v>
      </c>
      <c r="G122" s="2" t="str">
        <v>Barclays Bank PLC</v>
      </c>
      <c r="H122" s="2" t="str">
        <v>IG4</v>
      </c>
      <c r="I122" s="2" t="str">
        <v>XS1854167712</v>
      </c>
      <c r="J122" s="2" t="str">
        <v>AT02</v>
      </c>
    </row>
    <row r="123" spans="5:10" x14ac:dyDescent="0.2">
      <c r="E123" s="20">
        <v>117</v>
      </c>
      <c r="F123" s="5" t="str">
        <v>GB0570</v>
      </c>
      <c r="G123" s="2" t="str">
        <v>Barclays Bank PLC</v>
      </c>
      <c r="H123" s="2" t="str">
        <v>IG4</v>
      </c>
      <c r="I123" s="2" t="str">
        <v>XS1854167803</v>
      </c>
      <c r="J123" s="2" t="str">
        <v>AT02</v>
      </c>
    </row>
    <row r="124" spans="5:10" x14ac:dyDescent="0.2">
      <c r="E124" s="20">
        <v>118</v>
      </c>
      <c r="F124" s="5" t="str">
        <v>GB0570</v>
      </c>
      <c r="G124" s="2" t="str">
        <v>Barclays Bank plc</v>
      </c>
      <c r="H124" s="2" t="str">
        <v>IG4</v>
      </c>
      <c r="I124" s="2" t="str">
        <v>FR0125467524</v>
      </c>
      <c r="J124" s="2" t="str">
        <v>AT03</v>
      </c>
    </row>
    <row r="125" spans="5:10" x14ac:dyDescent="0.2">
      <c r="E125" s="20">
        <v>119</v>
      </c>
      <c r="F125" s="5" t="str">
        <v>GB0570</v>
      </c>
      <c r="G125" s="2" t="str">
        <v>Barclays Bank plc</v>
      </c>
      <c r="H125" s="2" t="str">
        <v>IG4</v>
      </c>
      <c r="I125" s="2" t="str">
        <v>FR0125507196</v>
      </c>
      <c r="J125" s="2" t="str">
        <v>AT03</v>
      </c>
    </row>
    <row r="126" spans="5:10" x14ac:dyDescent="0.2">
      <c r="E126" s="20">
        <v>120</v>
      </c>
      <c r="F126" s="5" t="str">
        <v>GB0570</v>
      </c>
      <c r="G126" s="2" t="str">
        <v>Barclays Bank plc</v>
      </c>
      <c r="H126" s="2" t="str">
        <v>IG4</v>
      </c>
      <c r="I126" s="2" t="str">
        <v>FR0125454993</v>
      </c>
      <c r="J126" s="2" t="str">
        <v>AT03</v>
      </c>
    </row>
    <row r="127" spans="5:10" x14ac:dyDescent="0.2">
      <c r="E127" s="20">
        <v>121</v>
      </c>
      <c r="F127" s="5" t="str">
        <v>GB0570</v>
      </c>
      <c r="G127" s="2" t="str">
        <v>Barclays Bank plc</v>
      </c>
      <c r="H127" s="2" t="str">
        <v>IG4</v>
      </c>
      <c r="I127" s="2" t="str">
        <v>FR0125345571</v>
      </c>
      <c r="J127" s="2" t="str">
        <v>AT03</v>
      </c>
    </row>
    <row r="128" spans="5:10" x14ac:dyDescent="0.2">
      <c r="E128" s="20">
        <v>122</v>
      </c>
      <c r="F128" s="5" t="str">
        <v>GB0570</v>
      </c>
      <c r="G128" s="2" t="str">
        <v>Barclays Bank PLC</v>
      </c>
      <c r="H128" s="2" t="str">
        <v>IG4</v>
      </c>
      <c r="I128" s="2" t="str">
        <v>XS1814019318</v>
      </c>
      <c r="J128" s="2" t="str">
        <v>AT02</v>
      </c>
    </row>
    <row r="129" spans="5:10" x14ac:dyDescent="0.2">
      <c r="E129" s="20">
        <v>123</v>
      </c>
      <c r="F129" s="5" t="str">
        <v>GB0570</v>
      </c>
      <c r="G129" s="2" t="str">
        <v>Barclays Bank PLC</v>
      </c>
      <c r="H129" s="2" t="str">
        <v>IG4</v>
      </c>
      <c r="I129" s="2" t="str">
        <v>XS1854167985</v>
      </c>
      <c r="J129" s="2" t="str">
        <v>AT02</v>
      </c>
    </row>
    <row r="130" spans="5:10" x14ac:dyDescent="0.2">
      <c r="E130" s="20">
        <v>124</v>
      </c>
      <c r="F130" s="5" t="str">
        <v>GB0570</v>
      </c>
      <c r="G130" s="2" t="str">
        <v>Barclays Bank PLC</v>
      </c>
      <c r="H130" s="2" t="str">
        <v>IG4</v>
      </c>
      <c r="I130" s="2" t="str">
        <v>XS1854168017</v>
      </c>
      <c r="J130" s="2" t="str">
        <v>AT02</v>
      </c>
    </row>
    <row r="131" spans="5:10" x14ac:dyDescent="0.2">
      <c r="E131" s="20">
        <v>125</v>
      </c>
      <c r="F131" s="5" t="str">
        <v>GB0570</v>
      </c>
      <c r="G131" s="2" t="str">
        <v>Barclays Bank PLC</v>
      </c>
      <c r="H131" s="2" t="str">
        <v>IG4</v>
      </c>
      <c r="I131" s="2" t="str">
        <v>XS1920372478</v>
      </c>
      <c r="J131" s="2" t="str">
        <v>AT02</v>
      </c>
    </row>
    <row r="132" spans="5:10" x14ac:dyDescent="0.2">
      <c r="E132" s="20">
        <v>126</v>
      </c>
      <c r="F132" s="5" t="str">
        <v>GB0570</v>
      </c>
      <c r="G132" s="2" t="str">
        <v>Barclays Bank plc</v>
      </c>
      <c r="H132" s="2" t="str">
        <v>IG4</v>
      </c>
      <c r="I132" s="2" t="str">
        <v>FR0125329872</v>
      </c>
      <c r="J132" s="2" t="str">
        <v>AT03</v>
      </c>
    </row>
    <row r="133" spans="5:10" x14ac:dyDescent="0.2">
      <c r="E133" s="20">
        <v>127</v>
      </c>
      <c r="F133" s="5" t="str">
        <v>GB0570</v>
      </c>
      <c r="G133" s="2" t="str">
        <v>Barclays Bank plc</v>
      </c>
      <c r="H133" s="2" t="str">
        <v>IG4</v>
      </c>
      <c r="I133" s="2" t="str">
        <v>FR0125397705</v>
      </c>
      <c r="J133" s="2" t="str">
        <v>AT03</v>
      </c>
    </row>
    <row r="134" spans="5:10" x14ac:dyDescent="0.2">
      <c r="E134" s="20">
        <v>128</v>
      </c>
      <c r="F134" s="5" t="str">
        <v>GB0570</v>
      </c>
      <c r="G134" s="2" t="str">
        <v>Barclays Bank PLC</v>
      </c>
      <c r="H134" s="2" t="str">
        <v>IG4</v>
      </c>
      <c r="I134" s="2" t="str">
        <v>XS1281093077</v>
      </c>
      <c r="J134" s="2" t="str">
        <v>AT02</v>
      </c>
    </row>
    <row r="135" spans="5:10" x14ac:dyDescent="0.2">
      <c r="E135" s="20">
        <v>129</v>
      </c>
      <c r="F135" s="5" t="str">
        <v>GB0570</v>
      </c>
      <c r="G135" s="2" t="str">
        <v>Barclays Bank PLC</v>
      </c>
      <c r="H135" s="2" t="str">
        <v>IG4</v>
      </c>
      <c r="I135" s="2" t="str">
        <v>XS1426164247</v>
      </c>
      <c r="J135" s="2" t="str">
        <v>AT02</v>
      </c>
    </row>
    <row r="136" spans="5:10" x14ac:dyDescent="0.2">
      <c r="E136" s="20">
        <v>130</v>
      </c>
      <c r="F136" s="5" t="str">
        <v>GB0570</v>
      </c>
      <c r="G136" s="2" t="str">
        <v>Barclays Bank PLC</v>
      </c>
      <c r="H136" s="2" t="str">
        <v>IG4</v>
      </c>
      <c r="I136" s="2" t="str">
        <v>XS1452748772</v>
      </c>
      <c r="J136" s="2" t="str">
        <v>AT02</v>
      </c>
    </row>
    <row r="137" spans="5:10" x14ac:dyDescent="0.2">
      <c r="E137" s="20">
        <v>131</v>
      </c>
      <c r="F137" s="5" t="str">
        <v>GB0570</v>
      </c>
      <c r="G137" s="2" t="str">
        <v>Barclays Bank PLC</v>
      </c>
      <c r="H137" s="2" t="str">
        <v>IG4</v>
      </c>
      <c r="I137" s="2" t="str">
        <v>XS1511967058</v>
      </c>
      <c r="J137" s="2" t="str">
        <v>AT02</v>
      </c>
    </row>
    <row r="138" spans="5:10" x14ac:dyDescent="0.2">
      <c r="E138" s="20">
        <v>132</v>
      </c>
      <c r="F138" s="5" t="str">
        <v>GB0570</v>
      </c>
      <c r="G138" s="2" t="str">
        <v>Barclays Bank PLC</v>
      </c>
      <c r="H138" s="2" t="str">
        <v>IG4</v>
      </c>
      <c r="I138" s="2" t="str">
        <v>XS1570778214</v>
      </c>
      <c r="J138" s="2" t="str">
        <v>AT02</v>
      </c>
    </row>
    <row r="139" spans="5:10" x14ac:dyDescent="0.2">
      <c r="E139" s="20">
        <v>133</v>
      </c>
      <c r="F139" s="5" t="str">
        <v>GB0570</v>
      </c>
      <c r="G139" s="2" t="str">
        <v>Barclays Bank PLC</v>
      </c>
      <c r="H139" s="2" t="str">
        <v>IG4</v>
      </c>
      <c r="I139" s="2" t="str">
        <v>XS1620630571</v>
      </c>
      <c r="J139" s="2" t="str">
        <v>AT02</v>
      </c>
    </row>
    <row r="140" spans="5:10" x14ac:dyDescent="0.2">
      <c r="E140" s="20">
        <v>134</v>
      </c>
      <c r="F140" s="5" t="str">
        <v>GB0570</v>
      </c>
      <c r="G140" s="2" t="str">
        <v>Barclays Bank PLC</v>
      </c>
      <c r="H140" s="2" t="str">
        <v>IG4</v>
      </c>
      <c r="I140" s="2" t="str">
        <v>XS1599605950</v>
      </c>
      <c r="J140" s="2" t="str">
        <v>AT02</v>
      </c>
    </row>
    <row r="141" spans="5:10" x14ac:dyDescent="0.2">
      <c r="E141" s="20">
        <v>135</v>
      </c>
      <c r="F141" s="5" t="str">
        <v>GB0570</v>
      </c>
      <c r="G141" s="2" t="str">
        <v>Barclays Bank PLC</v>
      </c>
      <c r="H141" s="2" t="str">
        <v>IG4</v>
      </c>
      <c r="I141" s="2" t="str">
        <v>XS1599611339</v>
      </c>
      <c r="J141" s="2" t="str">
        <v>AT02</v>
      </c>
    </row>
    <row r="142" spans="5:10" x14ac:dyDescent="0.2">
      <c r="E142" s="20">
        <v>136</v>
      </c>
      <c r="F142" s="5" t="str">
        <v>GB0570</v>
      </c>
      <c r="G142" s="2" t="str">
        <v>Barclays Bank PLC</v>
      </c>
      <c r="H142" s="2" t="str">
        <v>IG4</v>
      </c>
      <c r="I142" s="2" t="str">
        <v>XS1281093150</v>
      </c>
      <c r="J142" s="2" t="str">
        <v>AT02</v>
      </c>
    </row>
    <row r="143" spans="5:10" x14ac:dyDescent="0.2">
      <c r="E143" s="20">
        <v>137</v>
      </c>
      <c r="F143" s="5" t="str">
        <v>GB0570</v>
      </c>
      <c r="G143" s="2" t="str">
        <v>Barclays Bank PLC</v>
      </c>
      <c r="H143" s="2" t="str">
        <v>IG4</v>
      </c>
      <c r="I143" s="2" t="str">
        <v>XS1281093317</v>
      </c>
      <c r="J143" s="2" t="str">
        <v>AT02</v>
      </c>
    </row>
    <row r="144" spans="5:10" x14ac:dyDescent="0.2">
      <c r="E144" s="20">
        <v>138</v>
      </c>
      <c r="F144" s="5" t="str">
        <v>GB0570</v>
      </c>
      <c r="G144" s="2" t="str">
        <v>Barclays Bank PLC</v>
      </c>
      <c r="H144" s="2" t="str">
        <v>IG4</v>
      </c>
      <c r="I144" s="2" t="str">
        <v>XS1956852401</v>
      </c>
      <c r="J144" s="2" t="str">
        <v>AT02</v>
      </c>
    </row>
    <row r="145" spans="5:10" x14ac:dyDescent="0.2">
      <c r="E145" s="20">
        <v>139</v>
      </c>
      <c r="F145" s="5" t="str">
        <v>GB0570</v>
      </c>
      <c r="G145" s="2" t="str">
        <v>Barclays Bank PLC</v>
      </c>
      <c r="H145" s="2" t="str">
        <v>IG4</v>
      </c>
      <c r="I145" s="2" t="str">
        <v>XS1391601264</v>
      </c>
      <c r="J145" s="2" t="str">
        <v>AT02</v>
      </c>
    </row>
    <row r="146" spans="5:10" x14ac:dyDescent="0.2">
      <c r="E146" s="20">
        <v>140</v>
      </c>
      <c r="F146" s="5" t="str">
        <v>GB0570</v>
      </c>
      <c r="G146" s="2" t="str">
        <v>Barclays Bank PLC</v>
      </c>
      <c r="H146" s="2" t="str">
        <v>IG4</v>
      </c>
      <c r="I146" s="2" t="str">
        <v>XS1555613519</v>
      </c>
      <c r="J146" s="2" t="str">
        <v>AT02</v>
      </c>
    </row>
    <row r="147" spans="5:10" x14ac:dyDescent="0.2">
      <c r="E147" s="20">
        <v>141</v>
      </c>
      <c r="F147" s="5" t="str">
        <v>GB0570</v>
      </c>
      <c r="G147" s="2" t="str">
        <v>Barclays Bank PLC</v>
      </c>
      <c r="H147" s="2" t="str">
        <v>IG4</v>
      </c>
      <c r="I147" s="2" t="str">
        <v>DE000BC5K491</v>
      </c>
      <c r="J147" s="2" t="str">
        <v>AT02</v>
      </c>
    </row>
    <row r="148" spans="5:10" x14ac:dyDescent="0.2">
      <c r="E148" s="20">
        <v>142</v>
      </c>
      <c r="F148" s="5" t="str">
        <v>GB0570</v>
      </c>
      <c r="G148" s="2" t="str">
        <v>Barclays Bank PLC</v>
      </c>
      <c r="H148" s="2" t="str">
        <v>IG4</v>
      </c>
      <c r="I148" s="2" t="str">
        <v>XS1281092939</v>
      </c>
      <c r="J148" s="2" t="str">
        <v>AT02</v>
      </c>
    </row>
    <row r="149" spans="5:10" x14ac:dyDescent="0.2">
      <c r="E149" s="20">
        <v>143</v>
      </c>
      <c r="F149" s="5" t="str">
        <v>GB0570</v>
      </c>
      <c r="G149" s="2" t="str">
        <v>Barclays Bank PLC</v>
      </c>
      <c r="H149" s="2" t="str">
        <v>IG4</v>
      </c>
      <c r="I149" s="2" t="str">
        <v>XS0096045025</v>
      </c>
      <c r="J149" s="2" t="str">
        <v>AT02</v>
      </c>
    </row>
    <row r="150" spans="5:10" x14ac:dyDescent="0.2">
      <c r="E150" s="20">
        <v>144</v>
      </c>
      <c r="F150" s="5" t="str">
        <v>GB0570</v>
      </c>
      <c r="G150" s="2" t="str">
        <v>Barclays Bank PLC</v>
      </c>
      <c r="H150" s="2" t="str">
        <v>IG4</v>
      </c>
      <c r="I150" s="2" t="str">
        <v>XS1683852930</v>
      </c>
      <c r="J150" s="2" t="str">
        <v>AT02</v>
      </c>
    </row>
    <row r="151" spans="5:10" x14ac:dyDescent="0.2">
      <c r="E151" s="20">
        <v>145</v>
      </c>
      <c r="F151" s="5" t="str">
        <v>GB0570</v>
      </c>
      <c r="G151" s="2" t="str">
        <v>Barclays Bank PLC</v>
      </c>
      <c r="H151" s="2" t="str">
        <v>IG4</v>
      </c>
      <c r="I151" s="2" t="str">
        <v>XS0446381930</v>
      </c>
      <c r="J151" s="2" t="str">
        <v>AT02</v>
      </c>
    </row>
    <row r="152" spans="5:10" x14ac:dyDescent="0.2">
      <c r="E152" s="20">
        <v>146</v>
      </c>
      <c r="F152" s="5" t="str">
        <v>GB0570</v>
      </c>
      <c r="G152" s="2" t="str">
        <v>Barclays Bank PLC</v>
      </c>
      <c r="H152" s="2" t="str">
        <v>IG4</v>
      </c>
      <c r="I152" s="2" t="str">
        <v>XS0445843526</v>
      </c>
      <c r="J152" s="2" t="str">
        <v>AT02</v>
      </c>
    </row>
    <row r="153" spans="5:10" x14ac:dyDescent="0.2">
      <c r="E153" s="20">
        <v>147</v>
      </c>
      <c r="F153" s="5" t="str">
        <v>GB0570</v>
      </c>
      <c r="G153" s="2" t="str">
        <v>Barclays Bank PLC</v>
      </c>
      <c r="H153" s="2" t="str">
        <v>IG4</v>
      </c>
      <c r="I153" s="2" t="str">
        <v>XS1731946254</v>
      </c>
      <c r="J153" s="2" t="str">
        <v>AT02</v>
      </c>
    </row>
    <row r="154" spans="5:10" x14ac:dyDescent="0.2">
      <c r="E154" s="20">
        <v>148</v>
      </c>
      <c r="F154" s="5" t="str">
        <v>GB0570</v>
      </c>
      <c r="G154" s="2" t="str">
        <v>Barclays Bank PLC</v>
      </c>
      <c r="H154" s="2" t="str">
        <v>IG4</v>
      </c>
      <c r="I154" s="2" t="str">
        <v>XS1683847005</v>
      </c>
      <c r="J154" s="2" t="str">
        <v>AT02</v>
      </c>
    </row>
    <row r="155" spans="5:10" x14ac:dyDescent="0.2">
      <c r="E155" s="20">
        <v>149</v>
      </c>
      <c r="F155" s="5" t="str">
        <v>GB0570</v>
      </c>
      <c r="G155" s="2" t="str">
        <v>Barclays Bank PLC</v>
      </c>
      <c r="H155" s="2" t="str">
        <v>IG4</v>
      </c>
      <c r="I155" s="2" t="str">
        <v>DE000BC0B4A9</v>
      </c>
      <c r="J155" s="2" t="str">
        <v>AT02</v>
      </c>
    </row>
    <row r="156" spans="5:10" x14ac:dyDescent="0.2">
      <c r="E156" s="20">
        <v>150</v>
      </c>
      <c r="F156" s="5" t="str">
        <v>GB0570</v>
      </c>
      <c r="G156" s="2" t="str">
        <v>Barclays Bank PLC</v>
      </c>
      <c r="H156" s="2" t="str">
        <v>IG4</v>
      </c>
      <c r="I156" s="2" t="str">
        <v>XS1599606255</v>
      </c>
      <c r="J156" s="2" t="str">
        <v>AT02</v>
      </c>
    </row>
  </sheetData>
  <mergeCells count="2">
    <mergeCell ref="B9:C13"/>
    <mergeCell ref="B2:J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B16"/>
  <sheetViews>
    <sheetView workbookViewId="0">
      <selection activeCell="B2" sqref="B2"/>
    </sheetView>
  </sheetViews>
  <sheetFormatPr defaultColWidth="10.140625" defaultRowHeight="15.75" x14ac:dyDescent="0.2"/>
  <cols>
    <col min="1" max="1" width="15.42578125" style="22" bestFit="1" customWidth="1"/>
    <col min="2" max="2" width="10.5703125" style="22" customWidth="1"/>
    <col min="3" max="16384" width="10.140625" style="22"/>
  </cols>
  <sheetData>
    <row r="1" spans="1:2" x14ac:dyDescent="0.2">
      <c r="A1" s="22" t="s">
        <v>13</v>
      </c>
      <c r="B1" s="22" t="s">
        <v>23</v>
      </c>
    </row>
    <row r="2" spans="1:2" x14ac:dyDescent="0.2">
      <c r="A2" s="22" t="s">
        <v>14</v>
      </c>
      <c r="B2" s="22" t="s">
        <v>25</v>
      </c>
    </row>
    <row r="3" spans="1:2" x14ac:dyDescent="0.2">
      <c r="A3" s="22" t="s">
        <v>15</v>
      </c>
      <c r="B3" s="22" t="s">
        <v>24</v>
      </c>
    </row>
    <row r="4" spans="1:2" x14ac:dyDescent="0.2">
      <c r="A4" s="22" t="s">
        <v>16</v>
      </c>
      <c r="B4" s="22" t="b">
        <v>0</v>
      </c>
    </row>
    <row r="5" spans="1:2" x14ac:dyDescent="0.2">
      <c r="A5" s="22" t="s">
        <v>17</v>
      </c>
    </row>
    <row r="6" spans="1:2" x14ac:dyDescent="0.2">
      <c r="A6" s="22" t="s">
        <v>18</v>
      </c>
      <c r="B6" s="22" t="b">
        <v>0</v>
      </c>
    </row>
    <row r="13" spans="1:2" x14ac:dyDescent="0.2">
      <c r="A13" s="23" t="s">
        <v>19</v>
      </c>
    </row>
    <row r="14" spans="1:2" x14ac:dyDescent="0.2">
      <c r="A14" s="22" t="s">
        <v>20</v>
      </c>
    </row>
    <row r="15" spans="1:2" x14ac:dyDescent="0.2">
      <c r="A15" s="22" t="s">
        <v>21</v>
      </c>
    </row>
    <row r="16" spans="1:2" x14ac:dyDescent="0.2">
      <c r="A16" s="22" t="s">
        <v>22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Group structure</vt:lpstr>
      <vt:lpstr>Entity search</vt:lpstr>
      <vt:lpstr>Close links</vt:lpstr>
      <vt:lpstr>Close linked assets</vt:lpstr>
      <vt:lpstr>xlwings.conf</vt:lpstr>
    </vt:vector>
  </TitlesOfParts>
  <Company>European Central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Blau, Maximilian Lorenz</dc:creator>
  <cp:lastModifiedBy>Blau, Maximilian Lorenz</cp:lastModifiedBy>
  <dcterms:created xsi:type="dcterms:W3CDTF">2019-03-21T14:02:17Z</dcterms:created>
  <dcterms:modified xsi:type="dcterms:W3CDTF">2019-03-28T09:45:56Z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{B04002C8-11D7-4678-858D-CEF8ADBAA587}</vt:lpwstr>
  </property>
</Properties>
</file>